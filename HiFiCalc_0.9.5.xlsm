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1"/>
  <xr:revisionPtr revIDLastSave="0" documentId="13_ncr:1_{73A1A8E5-04FE-4E99-B07D-20E6E2930D69}" xr6:coauthVersionLast="47" xr6:coauthVersionMax="47" xr10:uidLastSave="{00000000-0000-0000-0000-000000000000}"/>
  <bookViews>
    <workbookView xWindow="-120" yWindow="-120" windowWidth="29040" windowHeight="15720" tabRatio="856" xr2:uid="{00000000-000D-0000-FFFF-FFFF00000000}"/>
  </bookViews>
  <sheets>
    <sheet name="Принцип подключения" sheetId="7" r:id="rId1"/>
    <sheet name="Сквозной расчёт фильтров" sheetId="8" r:id="rId2"/>
    <sheet name="Ведомость закупки и СП" sheetId="15" r:id="rId3"/>
    <sheet name="Электроакустический расчёт" sheetId="16" r:id="rId4"/>
    <sheet name="DATA_Кроссовер" sheetId="6" r:id="rId5"/>
    <sheet name="DATA_Расчёт катушек" sheetId="3" r:id="rId6"/>
    <sheet name="DATA_Провода,Каркасы" sheetId="2" r:id="rId7"/>
    <sheet name="DATA_Ведомости" sheetId="17" state="hidden" r:id="rId8"/>
    <sheet name="Памятка" sheetId="1" r:id="rId9"/>
    <sheet name="Справочные таблицы" sheetId="9" r:id="rId10"/>
  </sheets>
  <functionGroups builtInGroupCount="19"/>
  <definedNames>
    <definedName name="_xlpm.calc" hidden="1" xlm="1">#NAME?</definedName>
    <definedName name="_xlpm.core" hidden="1" xlm="1">#NAME?</definedName>
    <definedName name="_xlpm.geo" hidden="1" xlm="1">#NAME?</definedName>
    <definedName name="_xlpm.height" hidden="1" xlm="1">#NAME?</definedName>
    <definedName name="_xlpm.hpPhase" hidden="1" xlm="1">#NAME?</definedName>
    <definedName name="_xlpm.hpType" hidden="1" xlm="1">#NAME?</definedName>
    <definedName name="_xlpm.lpPhase" hidden="1" xlm="1">#NAME?</definedName>
    <definedName name="_xlpm.lpType" hidden="1" xlm="1">#NAME?</definedName>
    <definedName name="_xlpm.massPerM" hidden="1" xlm="1">#NAME?</definedName>
    <definedName name="_xlpm.pair" hidden="1" xlm="1">#NAME?</definedName>
    <definedName name="_xlpm.price" hidden="1" xlm="1">#NAME?</definedName>
    <definedName name="_xlpm.req" hidden="1" xlm="1">#NAME?</definedName>
    <definedName name="_xlpm.wire" hidden="1" xlm="1">#NAME?</definedName>
    <definedName name="_xlpm.x" hidden="1" xlm="1">#NAME?</definedName>
    <definedName name="PurchaseSource">DATA_Ведомости!$A$2:$O$40</definedName>
    <definedName name="PurchaseSource_Test">DATA_Ведомости!$A$2:$O$40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9" i="3" l="1"/>
  <c r="C2" i="3"/>
  <c r="G9" i="8"/>
  <c r="D12" i="8"/>
  <c r="D13" i="8" s="1"/>
  <c r="G12" i="8"/>
  <c r="G13" i="8" s="1"/>
  <c r="J12" i="8"/>
  <c r="J13" i="8" s="1"/>
  <c r="H17" i="8"/>
  <c r="B4" i="3" s="1"/>
  <c r="F40" i="17" s="1"/>
  <c r="G22" i="8"/>
  <c r="G23" i="8"/>
  <c r="D30" i="8"/>
  <c r="D31" i="8" s="1"/>
  <c r="D33" i="8" s="1"/>
  <c r="G30" i="8"/>
  <c r="G31" i="8" s="1"/>
  <c r="G33" i="8" s="1"/>
  <c r="J30" i="8"/>
  <c r="J31" i="8" s="1"/>
  <c r="J33" i="8" s="1"/>
  <c r="D53" i="8"/>
  <c r="D56" i="8"/>
  <c r="D57" i="8"/>
  <c r="D7" i="16"/>
  <c r="D10" i="16" s="1"/>
  <c r="D93" i="16" s="1"/>
  <c r="D15" i="16"/>
  <c r="D31" i="16" s="1"/>
  <c r="E15" i="16"/>
  <c r="E31" i="16" s="1"/>
  <c r="D30" i="16"/>
  <c r="D39" i="16" s="1"/>
  <c r="E30" i="16"/>
  <c r="E39" i="16" s="1"/>
  <c r="D38" i="16"/>
  <c r="E38" i="16"/>
  <c r="D50" i="16"/>
  <c r="D51" i="16" s="1"/>
  <c r="D58" i="16"/>
  <c r="D78" i="16"/>
  <c r="D88" i="16" s="1"/>
  <c r="D82" i="16"/>
  <c r="P15" i="9"/>
  <c r="T5" i="9" s="1"/>
  <c r="U5" i="9" s="1"/>
  <c r="H2" i="3"/>
  <c r="I2" i="3"/>
  <c r="C3" i="3"/>
  <c r="H3" i="3"/>
  <c r="I3" i="3"/>
  <c r="C4" i="3"/>
  <c r="H4" i="3"/>
  <c r="I4" i="3"/>
  <c r="C5" i="3"/>
  <c r="H5" i="3"/>
  <c r="I5" i="3"/>
  <c r="C6" i="3"/>
  <c r="H6" i="3"/>
  <c r="I6" i="3"/>
  <c r="C7" i="3"/>
  <c r="H7" i="3"/>
  <c r="I7" i="3"/>
  <c r="C8" i="3"/>
  <c r="H8" i="3"/>
  <c r="I8" i="3"/>
  <c r="C9" i="3"/>
  <c r="H9" i="3"/>
  <c r="I9" i="3"/>
  <c r="C10" i="3"/>
  <c r="H10" i="3"/>
  <c r="I10" i="3"/>
  <c r="C11" i="3"/>
  <c r="H11" i="3"/>
  <c r="I11" i="3"/>
  <c r="C12" i="3"/>
  <c r="H12" i="3"/>
  <c r="I12" i="3"/>
  <c r="C13" i="3"/>
  <c r="H13" i="3"/>
  <c r="I13" i="3"/>
  <c r="F2" i="15"/>
  <c r="K2" i="6"/>
  <c r="K1" i="6"/>
  <c r="B10" i="6"/>
  <c r="K11" i="6"/>
  <c r="K10" i="6"/>
  <c r="E12" i="8" a="1"/>
  <c r="K33" i="8" a="1"/>
  <c r="E33" i="8" a="1"/>
  <c r="H13" i="8" a="1"/>
  <c r="K13" i="8" a="1"/>
  <c r="K12" i="8" a="1"/>
  <c r="E13" i="8" a="1"/>
  <c r="E56" i="8" a="1"/>
  <c r="H12" i="8" a="1"/>
  <c r="K14" i="8" a="1"/>
  <c r="E14" i="8" a="1"/>
  <c r="H14" i="8" a="1"/>
  <c r="H26" i="8" a="1"/>
  <c r="H33" i="8" a="1"/>
  <c r="J40" i="17" l="1"/>
  <c r="A40" i="17"/>
  <c r="D17" i="16"/>
  <c r="G32" i="8"/>
  <c r="D58" i="8"/>
  <c r="D32" i="8"/>
  <c r="D18" i="16"/>
  <c r="D20" i="16" s="1" a="1"/>
  <c r="D20" i="16" s="1"/>
  <c r="D23" i="16" s="1"/>
  <c r="D19" i="16" s="1"/>
  <c r="D24" i="16" s="1"/>
  <c r="D25" i="16" s="1"/>
  <c r="H13" i="8"/>
  <c r="H12" i="8"/>
  <c r="H26" i="8"/>
  <c r="E33" i="8"/>
  <c r="E34" i="8" s="1"/>
  <c r="E13" i="8"/>
  <c r="E12" i="8"/>
  <c r="E14" i="8"/>
  <c r="K13" i="8"/>
  <c r="K12" i="8"/>
  <c r="K14" i="8"/>
  <c r="H33" i="8"/>
  <c r="H34" i="8" s="1"/>
  <c r="H14" i="8"/>
  <c r="E56" i="8"/>
  <c r="K33" i="8"/>
  <c r="K34" i="8" s="1"/>
  <c r="J32" i="8"/>
  <c r="T4" i="9"/>
  <c r="U4" i="9" s="1"/>
  <c r="E18" i="16"/>
  <c r="E20" i="16" s="1" a="1"/>
  <c r="E20" i="16" s="1"/>
  <c r="E23" i="16" s="1"/>
  <c r="E19" i="16" s="1"/>
  <c r="E17" i="16"/>
  <c r="T6" i="9"/>
  <c r="U6" i="9" s="1"/>
  <c r="E32" i="16"/>
  <c r="E33" i="16" s="1"/>
  <c r="E40" i="16" s="1"/>
  <c r="D97" i="16" s="1"/>
  <c r="D32" i="16"/>
  <c r="D33" i="16" s="1"/>
  <c r="D83" i="16"/>
  <c r="D84" i="16"/>
  <c r="D52" i="16"/>
  <c r="D60" i="16" s="1"/>
  <c r="N14" i="6"/>
  <c r="O6" i="6"/>
  <c r="O13" i="6"/>
  <c r="P6" i="6"/>
  <c r="Q8" i="6"/>
  <c r="M40" i="8" s="1"/>
  <c r="N17" i="6"/>
  <c r="J39" i="8" s="1"/>
  <c r="O4" i="6"/>
  <c r="O5" i="6"/>
  <c r="N6" i="6"/>
  <c r="N15" i="6"/>
  <c r="P17" i="6"/>
  <c r="J40" i="8" s="1"/>
  <c r="P8" i="6"/>
  <c r="M42" i="8" s="1"/>
  <c r="N5" i="6"/>
  <c r="O8" i="6"/>
  <c r="M39" i="8" s="1"/>
  <c r="Q17" i="6"/>
  <c r="J42" i="8" s="1"/>
  <c r="P15" i="6"/>
  <c r="O17" i="6"/>
  <c r="J41" i="8" s="1"/>
  <c r="O15" i="6"/>
  <c r="O14" i="6"/>
  <c r="N8" i="6"/>
  <c r="M41" i="8" s="1"/>
  <c r="N11" i="6"/>
  <c r="P13" i="6"/>
  <c r="N16" i="6"/>
  <c r="O16" i="6"/>
  <c r="P4" i="6"/>
  <c r="N12" i="6"/>
  <c r="O12" i="6"/>
  <c r="N13" i="6"/>
  <c r="N7" i="6"/>
  <c r="N3" i="6"/>
  <c r="O3" i="6"/>
  <c r="N2" i="6"/>
  <c r="O7" i="6"/>
  <c r="N4" i="6"/>
  <c r="E57" i="8" a="1"/>
  <c r="K39" i="8" a="1"/>
  <c r="K40" i="8" a="1"/>
  <c r="E31" i="8" a="1"/>
  <c r="N39" i="8" a="1"/>
  <c r="H32" i="8" a="1"/>
  <c r="E32" i="8" a="1"/>
  <c r="N40" i="8" a="1"/>
  <c r="K31" i="8" a="1"/>
  <c r="K32" i="8" a="1"/>
  <c r="H31" i="8" a="1"/>
  <c r="F6" i="17" l="1"/>
  <c r="F36" i="17"/>
  <c r="F26" i="17"/>
  <c r="F25" i="17"/>
  <c r="F11" i="17"/>
  <c r="F10" i="17"/>
  <c r="F37" i="17"/>
  <c r="N40" i="17"/>
  <c r="O40" i="17"/>
  <c r="H40" i="17"/>
  <c r="L13" i="8"/>
  <c r="F12" i="8"/>
  <c r="F13" i="8"/>
  <c r="L12" i="8"/>
  <c r="I12" i="8"/>
  <c r="E58" i="8"/>
  <c r="B5" i="3" s="1"/>
  <c r="I13" i="8"/>
  <c r="D53" i="16" a="1"/>
  <c r="D53" i="16" s="1"/>
  <c r="D56" i="16" s="1"/>
  <c r="D57" i="16" s="1"/>
  <c r="E31" i="8"/>
  <c r="E32" i="8"/>
  <c r="H32" i="8"/>
  <c r="H31" i="8"/>
  <c r="D34" i="8"/>
  <c r="G34" i="8"/>
  <c r="K31" i="8"/>
  <c r="K32" i="8"/>
  <c r="N39" i="8"/>
  <c r="N40" i="8"/>
  <c r="E57" i="8"/>
  <c r="K40" i="8"/>
  <c r="K39" i="8"/>
  <c r="J34" i="8"/>
  <c r="D40" i="16"/>
  <c r="D96" i="16" s="1"/>
  <c r="E24" i="16"/>
  <c r="E25" i="16" s="1"/>
  <c r="D87" i="16"/>
  <c r="D89" i="16" s="1"/>
  <c r="D85" i="16"/>
  <c r="D90" i="16"/>
  <c r="D86" i="16"/>
  <c r="D100" i="16" s="1"/>
  <c r="D94" i="16"/>
  <c r="D69" i="16"/>
  <c r="D71" i="16" s="1"/>
  <c r="D61" i="16"/>
  <c r="B2" i="6"/>
  <c r="B11" i="6"/>
  <c r="B1" i="6"/>
  <c r="F9" i="17" l="1"/>
  <c r="F8" i="17"/>
  <c r="A25" i="17"/>
  <c r="I25" i="17"/>
  <c r="F35" i="17"/>
  <c r="F20" i="17"/>
  <c r="A26" i="17"/>
  <c r="I26" i="17"/>
  <c r="F15" i="17"/>
  <c r="I11" i="17"/>
  <c r="A11" i="17"/>
  <c r="F16" i="17"/>
  <c r="F7" i="17"/>
  <c r="F19" i="17"/>
  <c r="F23" i="17"/>
  <c r="I36" i="17"/>
  <c r="A36" i="17"/>
  <c r="A10" i="17"/>
  <c r="I10" i="17"/>
  <c r="F24" i="17"/>
  <c r="A37" i="17"/>
  <c r="I37" i="17"/>
  <c r="A6" i="17"/>
  <c r="I6" i="17"/>
  <c r="F34" i="17"/>
  <c r="F14" i="8"/>
  <c r="L14" i="8"/>
  <c r="I14" i="8"/>
  <c r="L39" i="8"/>
  <c r="F31" i="8"/>
  <c r="F32" i="8"/>
  <c r="O39" i="8"/>
  <c r="L32" i="8"/>
  <c r="L40" i="8"/>
  <c r="O40" i="8"/>
  <c r="I32" i="8"/>
  <c r="L31" i="8"/>
  <c r="K42" i="8"/>
  <c r="B11" i="3" s="1"/>
  <c r="I31" i="8"/>
  <c r="K41" i="8"/>
  <c r="B10" i="3" s="1"/>
  <c r="D73" i="16"/>
  <c r="D99" i="16" s="1"/>
  <c r="D54" i="16"/>
  <c r="D55" i="16" s="1"/>
  <c r="D67" i="16" s="1"/>
  <c r="D102" i="16" s="1"/>
  <c r="D62" i="16"/>
  <c r="D98" i="16" s="1"/>
  <c r="N41" i="8"/>
  <c r="B8" i="3" s="1"/>
  <c r="N42" i="8"/>
  <c r="D91" i="16"/>
  <c r="D101" i="16"/>
  <c r="D95" i="16"/>
  <c r="D72" i="16"/>
  <c r="F4" i="6"/>
  <c r="F6" i="6"/>
  <c r="F5" i="6"/>
  <c r="F14" i="6"/>
  <c r="G17" i="6"/>
  <c r="G40" i="8" s="1"/>
  <c r="F15" i="6"/>
  <c r="E14" i="6"/>
  <c r="F17" i="6"/>
  <c r="G41" i="8" s="1"/>
  <c r="E17" i="6"/>
  <c r="G39" i="8" s="1"/>
  <c r="F13" i="6"/>
  <c r="H17" i="6"/>
  <c r="G42" i="8" s="1"/>
  <c r="E15" i="6"/>
  <c r="G15" i="6"/>
  <c r="G6" i="6"/>
  <c r="E8" i="6"/>
  <c r="D41" i="8" s="1"/>
  <c r="E6" i="6"/>
  <c r="H8" i="6"/>
  <c r="D40" i="8" s="1"/>
  <c r="E5" i="6"/>
  <c r="F8" i="6"/>
  <c r="D39" i="8" s="1"/>
  <c r="G8" i="6"/>
  <c r="D42" i="8" s="1"/>
  <c r="E4" i="6"/>
  <c r="E3" i="6"/>
  <c r="F7" i="6"/>
  <c r="E2" i="6"/>
  <c r="F3" i="6"/>
  <c r="E7" i="6"/>
  <c r="G4" i="6"/>
  <c r="F16" i="6"/>
  <c r="F12" i="6"/>
  <c r="E16" i="6"/>
  <c r="E13" i="6"/>
  <c r="G13" i="6"/>
  <c r="E12" i="6"/>
  <c r="E11" i="6"/>
  <c r="E40" i="8" a="1"/>
  <c r="E39" i="8" a="1"/>
  <c r="H40" i="8" a="1"/>
  <c r="H39" i="8" a="1"/>
  <c r="D103" i="16" l="1"/>
  <c r="H37" i="17"/>
  <c r="N37" i="17"/>
  <c r="A19" i="17"/>
  <c r="H19" i="17" s="1"/>
  <c r="I19" i="17"/>
  <c r="N26" i="17"/>
  <c r="H26" i="17"/>
  <c r="F21" i="17"/>
  <c r="I24" i="17"/>
  <c r="A24" i="17"/>
  <c r="A20" i="17"/>
  <c r="H20" i="17" s="1"/>
  <c r="I20" i="17"/>
  <c r="J7" i="17"/>
  <c r="A7" i="17"/>
  <c r="A35" i="17"/>
  <c r="H35" i="17" s="1"/>
  <c r="I35" i="17"/>
  <c r="H10" i="17"/>
  <c r="N10" i="17"/>
  <c r="A16" i="17"/>
  <c r="I16" i="17"/>
  <c r="F17" i="17"/>
  <c r="N11" i="17"/>
  <c r="H11" i="17"/>
  <c r="H25" i="17"/>
  <c r="N25" i="17"/>
  <c r="F18" i="17"/>
  <c r="A34" i="17"/>
  <c r="I34" i="17"/>
  <c r="H36" i="17"/>
  <c r="N36" i="17"/>
  <c r="I8" i="17"/>
  <c r="A8" i="17"/>
  <c r="I15" i="17"/>
  <c r="A15" i="17"/>
  <c r="A23" i="17"/>
  <c r="I23" i="17"/>
  <c r="I9" i="17"/>
  <c r="A9" i="17"/>
  <c r="H6" i="17"/>
  <c r="N6" i="17"/>
  <c r="F34" i="8"/>
  <c r="O42" i="8"/>
  <c r="L42" i="8"/>
  <c r="L34" i="8"/>
  <c r="I34" i="8"/>
  <c r="H40" i="8"/>
  <c r="H39" i="8"/>
  <c r="E39" i="8"/>
  <c r="E40" i="8"/>
  <c r="B9" i="3"/>
  <c r="J10" i="2"/>
  <c r="K10" i="2" s="1"/>
  <c r="J9" i="2"/>
  <c r="J8" i="2"/>
  <c r="J7" i="2"/>
  <c r="J6" i="2"/>
  <c r="K6" i="2" s="1"/>
  <c r="J5" i="2"/>
  <c r="K5" i="2" s="1"/>
  <c r="J4" i="2"/>
  <c r="K4" i="2" s="1"/>
  <c r="J3" i="2"/>
  <c r="N35" i="17" l="1"/>
  <c r="N19" i="17"/>
  <c r="N9" i="17"/>
  <c r="H9" i="17"/>
  <c r="F31" i="17"/>
  <c r="H16" i="17"/>
  <c r="N16" i="17"/>
  <c r="H24" i="17"/>
  <c r="N24" i="17"/>
  <c r="F30" i="17"/>
  <c r="H34" i="17"/>
  <c r="N34" i="17"/>
  <c r="H23" i="17"/>
  <c r="N23" i="17"/>
  <c r="J21" i="17"/>
  <c r="A21" i="17"/>
  <c r="N15" i="17"/>
  <c r="H15" i="17"/>
  <c r="H7" i="17"/>
  <c r="A18" i="17"/>
  <c r="J18" i="17"/>
  <c r="F22" i="17"/>
  <c r="F3" i="17"/>
  <c r="A17" i="17"/>
  <c r="J17" i="17"/>
  <c r="H8" i="17"/>
  <c r="N8" i="17"/>
  <c r="F2" i="17"/>
  <c r="N20" i="17"/>
  <c r="E41" i="8"/>
  <c r="B6" i="3" s="1"/>
  <c r="I40" i="8"/>
  <c r="F40" i="8"/>
  <c r="F39" i="8"/>
  <c r="I39" i="8"/>
  <c r="E42" i="8"/>
  <c r="B7" i="3" s="1"/>
  <c r="H41" i="8"/>
  <c r="B12" i="3" s="1"/>
  <c r="H42" i="8"/>
  <c r="B13" i="3" s="1"/>
  <c r="K8" i="2"/>
  <c r="K7" i="2"/>
  <c r="K3" i="2"/>
  <c r="K9" i="2"/>
  <c r="K44" i="8" a="1"/>
  <c r="E44" i="8" a="1"/>
  <c r="N44" i="8" a="1"/>
  <c r="E60" i="8" a="1"/>
  <c r="E48" i="8" a="1"/>
  <c r="N48" i="8" a="1"/>
  <c r="H19" i="8" a="1"/>
  <c r="H44" i="8" a="1"/>
  <c r="H48" i="8" a="1"/>
  <c r="K48" i="8" a="1"/>
  <c r="F42" i="8" l="1"/>
  <c r="F4" i="17"/>
  <c r="A22" i="17"/>
  <c r="J22" i="17"/>
  <c r="I30" i="17"/>
  <c r="A30" i="17"/>
  <c r="A2" i="17"/>
  <c r="I2" i="17"/>
  <c r="F32" i="17"/>
  <c r="A3" i="17"/>
  <c r="I3" i="17"/>
  <c r="F5" i="17"/>
  <c r="H21" i="17"/>
  <c r="A31" i="17"/>
  <c r="H31" i="17" s="1"/>
  <c r="I31" i="17"/>
  <c r="F33" i="17"/>
  <c r="H18" i="17"/>
  <c r="H17" i="17"/>
  <c r="I42" i="8"/>
  <c r="N48" i="8"/>
  <c r="D9" i="3" s="1"/>
  <c r="N44" i="8"/>
  <c r="D8" i="3" s="1"/>
  <c r="K48" i="8"/>
  <c r="D11" i="3" s="1"/>
  <c r="K44" i="8"/>
  <c r="D10" i="3" s="1"/>
  <c r="E60" i="8"/>
  <c r="D5" i="3" s="1"/>
  <c r="H19" i="8"/>
  <c r="D4" i="3" s="1"/>
  <c r="E44" i="8"/>
  <c r="D6" i="3" s="1"/>
  <c r="H44" i="8"/>
  <c r="D12" i="3" s="1"/>
  <c r="H48" i="8"/>
  <c r="D13" i="3" s="1"/>
  <c r="E48" i="8"/>
  <c r="D7" i="3" s="1"/>
  <c r="G4" i="3" a="1"/>
  <c r="F8" i="3" a="1"/>
  <c r="E11" i="3" a="1"/>
  <c r="E9" i="3" a="1"/>
  <c r="M10" i="3" a="1"/>
  <c r="E6" i="3" a="1"/>
  <c r="M9" i="3" a="1"/>
  <c r="F6" i="3" a="1"/>
  <c r="M8" i="3" a="1"/>
  <c r="G13" i="3" a="1"/>
  <c r="G8" i="3" a="1"/>
  <c r="G9" i="3" a="1"/>
  <c r="G11" i="3" a="1"/>
  <c r="M13" i="3" a="1"/>
  <c r="M4" i="3" a="1"/>
  <c r="M12" i="3" a="1"/>
  <c r="E8" i="3" a="1"/>
  <c r="F4" i="3" a="1"/>
  <c r="M11" i="3" a="1"/>
  <c r="G12" i="3" a="1"/>
  <c r="F11" i="3" a="1"/>
  <c r="G6" i="3" a="1"/>
  <c r="F12" i="3" a="1"/>
  <c r="E12" i="3" a="1"/>
  <c r="E4" i="3" a="1"/>
  <c r="F5" i="3" a="1"/>
  <c r="E7" i="3" a="1"/>
  <c r="N2" i="17" l="1"/>
  <c r="N31" i="17"/>
  <c r="H2" i="17"/>
  <c r="L22" i="17"/>
  <c r="N30" i="17"/>
  <c r="H30" i="17"/>
  <c r="L40" i="17"/>
  <c r="L7" i="17"/>
  <c r="L18" i="17"/>
  <c r="L5" i="17"/>
  <c r="A5" i="17"/>
  <c r="J5" i="17"/>
  <c r="L21" i="17"/>
  <c r="H22" i="17"/>
  <c r="N3" i="17"/>
  <c r="H3" i="17"/>
  <c r="L4" i="17"/>
  <c r="J4" i="17"/>
  <c r="A4" i="17"/>
  <c r="L17" i="17"/>
  <c r="A33" i="17"/>
  <c r="J33" i="17"/>
  <c r="L33" i="17"/>
  <c r="J32" i="17"/>
  <c r="A32" i="17"/>
  <c r="L32" i="17"/>
  <c r="E4" i="3"/>
  <c r="G20" i="8" s="1"/>
  <c r="G24" i="8" s="1"/>
  <c r="F4" i="3"/>
  <c r="G4" i="3"/>
  <c r="M4" i="3"/>
  <c r="H21" i="8" s="1"/>
  <c r="F12" i="3"/>
  <c r="M12" i="3"/>
  <c r="H46" i="8" s="1"/>
  <c r="G12" i="3"/>
  <c r="E12" i="3"/>
  <c r="G45" i="8" s="1"/>
  <c r="M10" i="3"/>
  <c r="E6" i="3"/>
  <c r="D45" i="8" s="1"/>
  <c r="G6" i="3"/>
  <c r="F6" i="3"/>
  <c r="G11" i="3"/>
  <c r="E11" i="3"/>
  <c r="J49" i="8" s="1"/>
  <c r="F11" i="3"/>
  <c r="M11" i="3"/>
  <c r="G9" i="3"/>
  <c r="E9" i="3"/>
  <c r="M49" i="8" s="1"/>
  <c r="M9" i="3"/>
  <c r="E7" i="3"/>
  <c r="D49" i="8" s="1"/>
  <c r="F5" i="3"/>
  <c r="M13" i="3"/>
  <c r="H50" i="8" s="1"/>
  <c r="G13" i="3"/>
  <c r="F8" i="3"/>
  <c r="G8" i="3"/>
  <c r="E8" i="3"/>
  <c r="M45" i="8" s="1"/>
  <c r="M8" i="3"/>
  <c r="G10" i="3" a="1"/>
  <c r="E10" i="3" a="1"/>
  <c r="E13" i="3" a="1"/>
  <c r="F9" i="3" a="1"/>
  <c r="M7" i="3" a="1"/>
  <c r="G5" i="3" a="1"/>
  <c r="E5" i="3" a="1"/>
  <c r="H22" i="8" a="1"/>
  <c r="F7" i="3" a="1"/>
  <c r="F10" i="3" a="1"/>
  <c r="G7" i="3" a="1"/>
  <c r="M6" i="3" a="1"/>
  <c r="M5" i="3" a="1"/>
  <c r="F13" i="3" a="1"/>
  <c r="M22" i="17" l="1"/>
  <c r="K32" i="17"/>
  <c r="N32" i="17" s="1"/>
  <c r="O22" i="17"/>
  <c r="M21" i="17"/>
  <c r="G10" i="3"/>
  <c r="J44" i="8" s="1"/>
  <c r="F13" i="3"/>
  <c r="H49" i="8" s="1"/>
  <c r="F9" i="3"/>
  <c r="N49" i="8" s="1"/>
  <c r="E13" i="3"/>
  <c r="G49" i="8" s="1"/>
  <c r="M7" i="3"/>
  <c r="E50" i="8" s="1"/>
  <c r="G7" i="3"/>
  <c r="M5" i="17" s="1"/>
  <c r="M6" i="3"/>
  <c r="E46" i="8" s="1"/>
  <c r="E10" i="3"/>
  <c r="J45" i="8" s="1"/>
  <c r="F10" i="3"/>
  <c r="F7" i="3"/>
  <c r="E49" i="8" s="1"/>
  <c r="M32" i="17"/>
  <c r="K7" i="17"/>
  <c r="N7" i="17" s="1"/>
  <c r="O21" i="17"/>
  <c r="M40" i="17"/>
  <c r="K40" i="17"/>
  <c r="O32" i="17"/>
  <c r="H32" i="17"/>
  <c r="H4" i="17"/>
  <c r="K4" i="17"/>
  <c r="N4" i="17" s="1"/>
  <c r="H5" i="17"/>
  <c r="K21" i="17"/>
  <c r="N21" i="17" s="1"/>
  <c r="O17" i="17"/>
  <c r="H33" i="17"/>
  <c r="O33" i="17"/>
  <c r="M18" i="17"/>
  <c r="O18" i="17"/>
  <c r="K18" i="17"/>
  <c r="N18" i="17" s="1"/>
  <c r="H45" i="8"/>
  <c r="J48" i="8"/>
  <c r="N50" i="8"/>
  <c r="M44" i="8"/>
  <c r="N45" i="8"/>
  <c r="E45" i="8"/>
  <c r="D44" i="8"/>
  <c r="K45" i="8"/>
  <c r="E61" i="8"/>
  <c r="H20" i="8"/>
  <c r="N46" i="8"/>
  <c r="K46" i="8"/>
  <c r="M48" i="8"/>
  <c r="K50" i="8"/>
  <c r="G19" i="8"/>
  <c r="G48" i="8"/>
  <c r="K49" i="8"/>
  <c r="G44" i="8"/>
  <c r="M5" i="3"/>
  <c r="G5" i="3"/>
  <c r="E5" i="3"/>
  <c r="D61" i="8" s="1"/>
  <c r="H22" i="8"/>
  <c r="K8" i="8"/>
  <c r="E8" i="8"/>
  <c r="N4" i="3"/>
  <c r="J4" i="3"/>
  <c r="K4" i="3" s="1"/>
  <c r="J11" i="3"/>
  <c r="K11" i="3" s="1"/>
  <c r="N9" i="3"/>
  <c r="J13" i="3"/>
  <c r="K13" i="3" s="1"/>
  <c r="N10" i="3"/>
  <c r="N13" i="3"/>
  <c r="N11" i="3"/>
  <c r="N12" i="3"/>
  <c r="N8" i="3"/>
  <c r="J7" i="3"/>
  <c r="J8" i="3"/>
  <c r="K8" i="3" s="1"/>
  <c r="N7" i="3"/>
  <c r="K9" i="3"/>
  <c r="J12" i="3"/>
  <c r="K12" i="3" s="1"/>
  <c r="J6" i="3"/>
  <c r="K6" i="3" s="1"/>
  <c r="L8" i="3" a="1"/>
  <c r="L12" i="3" a="1"/>
  <c r="H25" i="8" a="1"/>
  <c r="L4" i="3" a="1"/>
  <c r="L11" i="3" a="1"/>
  <c r="L6" i="3" a="1"/>
  <c r="L13" i="3" a="1"/>
  <c r="L9" i="3" a="1"/>
  <c r="J10" i="3" l="1"/>
  <c r="O5" i="17"/>
  <c r="K7" i="3"/>
  <c r="K10" i="3"/>
  <c r="M4" i="17"/>
  <c r="D48" i="8"/>
  <c r="M33" i="17"/>
  <c r="K17" i="17"/>
  <c r="N17" i="17" s="1"/>
  <c r="K5" i="17"/>
  <c r="N5" i="17" s="1"/>
  <c r="M7" i="17"/>
  <c r="F38" i="17"/>
  <c r="N6" i="3"/>
  <c r="O4" i="17"/>
  <c r="K22" i="17"/>
  <c r="N22" i="17" s="1"/>
  <c r="O7" i="17"/>
  <c r="K33" i="17"/>
  <c r="N33" i="17" s="1"/>
  <c r="M17" i="17"/>
  <c r="N5" i="3"/>
  <c r="J5" i="3"/>
  <c r="K5" i="3" s="1"/>
  <c r="I22" i="8"/>
  <c r="D60" i="8"/>
  <c r="E62" i="8"/>
  <c r="L11" i="3"/>
  <c r="J47" i="8" s="1"/>
  <c r="L4" i="3"/>
  <c r="G18" i="8" s="1"/>
  <c r="L9" i="3"/>
  <c r="M47" i="8" s="1"/>
  <c r="L8" i="3"/>
  <c r="M43" i="8" s="1"/>
  <c r="L6" i="3"/>
  <c r="D43" i="8" s="1"/>
  <c r="L13" i="3"/>
  <c r="G47" i="8" s="1"/>
  <c r="L12" i="3"/>
  <c r="G43" i="8" s="1"/>
  <c r="H25" i="8"/>
  <c r="E9" i="8"/>
  <c r="D2" i="16" s="1"/>
  <c r="D5" i="16" s="1"/>
  <c r="E17" i="8"/>
  <c r="D22" i="8"/>
  <c r="D23" i="8"/>
  <c r="K9" i="8"/>
  <c r="K17" i="8"/>
  <c r="J23" i="8"/>
  <c r="J22" i="8"/>
  <c r="K19" i="8" a="1"/>
  <c r="E19" i="8" a="1"/>
  <c r="L7" i="3" a="1"/>
  <c r="L5" i="3" a="1"/>
  <c r="L10" i="3" a="1"/>
  <c r="K26" i="8" a="1"/>
  <c r="E26" i="8" a="1"/>
  <c r="L7" i="3" l="1"/>
  <c r="D47" i="8" s="1"/>
  <c r="L10" i="3"/>
  <c r="J43" i="8" s="1"/>
  <c r="A38" i="17"/>
  <c r="I38" i="17"/>
  <c r="F39" i="17"/>
  <c r="L5" i="3"/>
  <c r="D59" i="8" s="1"/>
  <c r="I25" i="8"/>
  <c r="I26" i="8" s="1"/>
  <c r="K26" i="8"/>
  <c r="E26" i="8"/>
  <c r="K19" i="8"/>
  <c r="E19" i="8"/>
  <c r="D2" i="3" s="1"/>
  <c r="B2" i="3"/>
  <c r="E2" i="3" a="1"/>
  <c r="M2" i="3" a="1"/>
  <c r="A39" i="17" l="1"/>
  <c r="I39" i="17"/>
  <c r="F14" i="17"/>
  <c r="N38" i="17"/>
  <c r="H38" i="17"/>
  <c r="M2" i="3"/>
  <c r="E21" i="8" s="1"/>
  <c r="D3" i="3"/>
  <c r="B3" i="3"/>
  <c r="E2" i="3"/>
  <c r="D20" i="8" s="1"/>
  <c r="D24" i="8" s="1"/>
  <c r="G2" i="3" a="1"/>
  <c r="M3" i="3" a="1"/>
  <c r="F2" i="3" a="1"/>
  <c r="E3" i="3" a="1"/>
  <c r="F3" i="3" a="1"/>
  <c r="E22" i="8" a="1"/>
  <c r="G3" i="3" a="1"/>
  <c r="F2" i="3" l="1"/>
  <c r="E20" i="8" s="1"/>
  <c r="G2" i="3"/>
  <c r="D19" i="8" s="1"/>
  <c r="J14" i="17"/>
  <c r="K14" i="17"/>
  <c r="L14" i="17"/>
  <c r="M14" i="17"/>
  <c r="A14" i="17"/>
  <c r="F29" i="17"/>
  <c r="H39" i="17"/>
  <c r="N39" i="17"/>
  <c r="E22" i="8"/>
  <c r="J2" i="3"/>
  <c r="K2" i="3" s="1"/>
  <c r="N2" i="3"/>
  <c r="F3" i="3"/>
  <c r="K20" i="8" s="1"/>
  <c r="G3" i="3"/>
  <c r="J19" i="8" s="1"/>
  <c r="E3" i="3"/>
  <c r="J20" i="8" s="1"/>
  <c r="J24" i="8" s="1"/>
  <c r="M3" i="3"/>
  <c r="K21" i="8" s="1"/>
  <c r="K22" i="8" a="1"/>
  <c r="E25" i="8" a="1"/>
  <c r="L2" i="3" a="1"/>
  <c r="H14" i="17" l="1"/>
  <c r="N14" i="17"/>
  <c r="O14" i="17"/>
  <c r="J29" i="17"/>
  <c r="A29" i="17"/>
  <c r="K29" i="17"/>
  <c r="L29" i="17"/>
  <c r="M29" i="17"/>
  <c r="F12" i="17"/>
  <c r="F22" i="8"/>
  <c r="L2" i="3"/>
  <c r="D18" i="8" s="1"/>
  <c r="K22" i="8"/>
  <c r="E25" i="8"/>
  <c r="N3" i="3"/>
  <c r="J3" i="3"/>
  <c r="K3" i="3" s="1"/>
  <c r="K25" i="8" a="1"/>
  <c r="L3" i="3" a="1"/>
  <c r="F27" i="17" l="1"/>
  <c r="A12" i="17"/>
  <c r="I12" i="17"/>
  <c r="F13" i="17"/>
  <c r="H29" i="17"/>
  <c r="N29" i="17"/>
  <c r="O29" i="17"/>
  <c r="L22" i="8"/>
  <c r="F25" i="8"/>
  <c r="F26" i="8" s="1"/>
  <c r="L3" i="3"/>
  <c r="J18" i="8" s="1"/>
  <c r="K25" i="8"/>
  <c r="F28" i="17" l="1"/>
  <c r="I13" i="17"/>
  <c r="A13" i="17"/>
  <c r="H12" i="17"/>
  <c r="N12" i="17"/>
  <c r="I27" i="17"/>
  <c r="A27" i="17"/>
  <c r="L25" i="8"/>
  <c r="L26" i="8" s="1"/>
  <c r="H27" i="17" l="1"/>
  <c r="N27" i="17"/>
  <c r="H13" i="17"/>
  <c r="N13" i="17"/>
  <c r="A28" i="17"/>
  <c r="K10" i="15" s="1" a="1"/>
  <c r="K10" i="15" s="1"/>
  <c r="I28" i="17"/>
  <c r="H28" i="17" l="1"/>
  <c r="N28" i="17"/>
  <c r="B10" i="15" a="1"/>
  <c r="B10" i="1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cellMetadata count="1">
    <bk>
      <rc t="1" v="0"/>
    </bk>
  </cellMetadata>
  <valueMetadata count="6">
    <bk>
      <rc t="2" v="0"/>
    </bk>
    <bk>
      <rc t="2" v="1"/>
    </bk>
    <bk>
      <rc t="2" v="2"/>
    </bk>
    <bk>
      <rc t="2" v="3"/>
    </bk>
    <bk>
      <rc t="2" v="4"/>
    </bk>
    <bk>
      <rc t="2" v="5"/>
    </bk>
  </valueMetadata>
</metadata>
</file>

<file path=xl/sharedStrings.xml><?xml version="1.0" encoding="utf-8"?>
<sst xmlns="http://schemas.openxmlformats.org/spreadsheetml/2006/main" count="1009" uniqueCount="564">
  <si>
    <t>Катушка Брукса (Brooks coil)</t>
  </si>
  <si>
    <t>Ø по меди, мм</t>
  </si>
  <si>
    <t>Ø по лаку, мм</t>
  </si>
  <si>
    <t>Метров
в 1 кг, м</t>
  </si>
  <si>
    <t>Цена за 1 кг, руб.</t>
  </si>
  <si>
    <t>L</t>
  </si>
  <si>
    <t>D</t>
  </si>
  <si>
    <t>C</t>
  </si>
  <si>
    <t>D : L : C = 2 : 1 : 1</t>
  </si>
  <si>
    <t>Ø провода, мм</t>
  </si>
  <si>
    <t>Вариант каркаса</t>
  </si>
  <si>
    <t>Высота намотки, мм</t>
  </si>
  <si>
    <t>Импеданс динамика,
Ом</t>
  </si>
  <si>
    <t>Нагрев, Вт</t>
  </si>
  <si>
    <t>Длина провода
на 1 шт., м</t>
  </si>
  <si>
    <t>Цена за 1 шт.,
руб</t>
  </si>
  <si>
    <t>ВЧ</t>
  </si>
  <si>
    <t>НЧ</t>
  </si>
  <si>
    <t>Ω, Ом</t>
  </si>
  <si>
    <t>Fc, Гц</t>
  </si>
  <si>
    <t>Вес 1 км,
кг</t>
  </si>
  <si>
    <t>Параметры провода ПЭТВ-2 (ТУ 16-705.110-79)</t>
  </si>
  <si>
    <t>Z</t>
  </si>
  <si>
    <t>Механическая добротность</t>
  </si>
  <si>
    <t>Ом</t>
  </si>
  <si>
    <t>Гц</t>
  </si>
  <si>
    <t>дБ</t>
  </si>
  <si>
    <t>Вт</t>
  </si>
  <si>
    <t>Цепь Цобеля (Zobel Network)</t>
  </si>
  <si>
    <t>Режекторный фильтр (Notch filter)</t>
  </si>
  <si>
    <t>Г–образный аттенюатор (L-Pad)</t>
  </si>
  <si>
    <t>мГн</t>
  </si>
  <si>
    <t>мкФ</t>
  </si>
  <si>
    <t>Ширина передней панели</t>
  </si>
  <si>
    <t>м</t>
  </si>
  <si>
    <t>Середина подъёма громкости звука (+3бД)</t>
  </si>
  <si>
    <t>Желаемый уровень компенсации громкости</t>
  </si>
  <si>
    <t>Баттерворт 3-го порядка для компонентов 1, 2, 3</t>
  </si>
  <si>
    <t>Бессель 2-го порядка (нормированные по амплитуде (Magnitude Normalized))</t>
  </si>
  <si>
    <t>Бессель 3-го порядка (нормированные по амплитуде (Magnitude Normalized))</t>
  </si>
  <si>
    <t>1,463 / 0,843 / 0,293</t>
  </si>
  <si>
    <t>Переменные в коде VBA для коррекции намотки катушки:</t>
  </si>
  <si>
    <t xml:space="preserve"> 0,454 / 1,361 (Конденсатор / Катушка)</t>
  </si>
  <si>
    <t>1,8856 / 1,591 / 0,9428 / 0,3536</t>
  </si>
  <si>
    <t>0,5303 / 0,6285 / 1,0607 / 2,8284</t>
  </si>
  <si>
    <t>Высота
намотки
(L), мм</t>
  </si>
  <si>
    <t>Название каркаса</t>
  </si>
  <si>
    <t>Да</t>
  </si>
  <si>
    <t>Нет</t>
  </si>
  <si>
    <t>Г-образный аттенюатор
(L-pad)</t>
  </si>
  <si>
    <t>Цепь Цобеля
(Zobel network)</t>
  </si>
  <si>
    <t>СЧ</t>
  </si>
  <si>
    <t>Режекторный фильтр 
(Notch filter)</t>
  </si>
  <si>
    <t>Разделительный фильтр
(Crossover)</t>
  </si>
  <si>
    <t>Индуктивность катушки</t>
  </si>
  <si>
    <t>Cопротивление катушки</t>
  </si>
  <si>
    <t>Резонансная частота</t>
  </si>
  <si>
    <t>Максимальная мощность усилителя</t>
  </si>
  <si>
    <t>Требуемое ослабление сигнала</t>
  </si>
  <si>
    <t>Коэффициент отношения напряжений</t>
  </si>
  <si>
    <t>Параметры динамиков</t>
  </si>
  <si>
    <t>Частота среза</t>
  </si>
  <si>
    <t>Заметки по фильтрам</t>
  </si>
  <si>
    <t>Lbs</t>
  </si>
  <si>
    <t>Ln НЧ</t>
  </si>
  <si>
    <t>Ln ВЧ</t>
  </si>
  <si>
    <t>E3 ±30%</t>
  </si>
  <si>
    <t>E6 ±20%</t>
  </si>
  <si>
    <t>E12 ±10%</t>
  </si>
  <si>
    <t>E24 ±5%</t>
  </si>
  <si>
    <t>L1</t>
  </si>
  <si>
    <t>C1</t>
  </si>
  <si>
    <t>L2</t>
  </si>
  <si>
    <t>C2</t>
  </si>
  <si>
    <t>Тип нормализации и порядок фильтра</t>
  </si>
  <si>
    <t>Жёлтый</t>
  </si>
  <si>
    <t>Голубой</t>
  </si>
  <si>
    <t>Серый</t>
  </si>
  <si>
    <t>Алый</t>
  </si>
  <si>
    <t>Зелёный</t>
  </si>
  <si>
    <t>Песочный</t>
  </si>
  <si>
    <t>Показатели в норме</t>
  </si>
  <si>
    <t>Разделительный фильтр (Crossover)</t>
  </si>
  <si>
    <t>Компенсация влияния передней панели (Baffle step compensation)</t>
  </si>
  <si>
    <t>Октава</t>
  </si>
  <si>
    <t>1 / 2</t>
  </si>
  <si>
    <t>1 / 4</t>
  </si>
  <si>
    <t>1 / 8</t>
  </si>
  <si>
    <t>Ln CЧ</t>
  </si>
  <si>
    <r>
      <t>Ø</t>
    </r>
    <r>
      <rPr>
        <vertAlign val="subscript"/>
        <sz val="11"/>
        <color theme="9" tint="-0.499984740745262"/>
        <rFont val="Bahnschrift Light"/>
        <family val="2"/>
        <charset val="204"/>
      </rPr>
      <t>внутр</t>
    </r>
    <r>
      <rPr>
        <sz val="11"/>
        <color theme="9" tint="-0.499984740745262"/>
        <rFont val="Bahnschrift Light"/>
        <family val="2"/>
        <charset val="204"/>
      </rPr>
      <t xml:space="preserve"> (D), мм</t>
    </r>
  </si>
  <si>
    <r>
      <t>Ø</t>
    </r>
    <r>
      <rPr>
        <vertAlign val="subscript"/>
        <sz val="11"/>
        <color theme="9" tint="-0.499984740745262"/>
        <rFont val="Bahnschrift Light"/>
        <family val="2"/>
        <charset val="204"/>
      </rPr>
      <t>max</t>
    </r>
    <r>
      <rPr>
        <sz val="11"/>
        <color theme="9" tint="-0.499984740745262"/>
        <rFont val="Bahnschrift Light"/>
        <family val="2"/>
        <charset val="204"/>
      </rPr>
      <t>, мм</t>
    </r>
  </si>
  <si>
    <r>
      <t>Сечение, мм</t>
    </r>
    <r>
      <rPr>
        <vertAlign val="superscript"/>
        <sz val="11"/>
        <color theme="9" tint="-0.499984740745262"/>
        <rFont val="Bahnschrift Light"/>
        <family val="2"/>
        <charset val="204"/>
      </rPr>
      <t>2</t>
    </r>
  </si>
  <si>
    <t>Назначение катушки</t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</si>
  <si>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LP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</si>
  <si>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LP</t>
    </r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</si>
  <si>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LP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</si>
  <si>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LP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</si>
  <si>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HP</t>
    </r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</si>
  <si>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1</t>
    </r>
    <r>
      <rPr>
        <sz val="11"/>
        <color theme="9" tint="-0.499984740745262"/>
        <rFont val="Bahnschrift Light"/>
        <family val="2"/>
        <charset val="204"/>
      </rPr>
      <t>HP</t>
    </r>
  </si>
  <si>
    <r>
      <t>C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HP</t>
    </r>
  </si>
  <si>
    <r>
      <t>L</t>
    </r>
    <r>
      <rPr>
        <vertAlign val="subscript"/>
        <sz val="11"/>
        <color theme="9" tint="-0.499984740745262"/>
        <rFont val="Bahnschrift Light"/>
        <family val="2"/>
        <charset val="204"/>
      </rPr>
      <t>2</t>
    </r>
    <r>
      <rPr>
        <sz val="11"/>
        <color theme="9" tint="-0.499984740745262"/>
        <rFont val="Bahnschrift Light"/>
        <family val="2"/>
        <charset val="204"/>
      </rPr>
      <t>HP</t>
    </r>
  </si>
  <si>
    <t>0.20</t>
  </si>
  <si>
    <t>0.40</t>
  </si>
  <si>
    <t>0.50</t>
  </si>
  <si>
    <t>0.55</t>
  </si>
  <si>
    <t>0.65</t>
  </si>
  <si>
    <t>0.70</t>
  </si>
  <si>
    <t>0.75</t>
  </si>
  <si>
    <t>0.80</t>
  </si>
  <si>
    <t>0.85</t>
  </si>
  <si>
    <t>0.90</t>
  </si>
  <si>
    <t>0.95</t>
  </si>
  <si>
    <t>0.97</t>
  </si>
  <si>
    <t>Рекомендуемая мощность резистора</t>
  </si>
  <si>
    <t>25°С + нагрев на диапазоне частоты по таблице
спектральной кумулятивной мощности (VBA)</t>
  </si>
  <si>
    <t>– Ряды Е24 для номиналов конденсаторов и резисторов (VBA)
– Стандартные номиналы мощности выводных резисторов (VBA)</t>
  </si>
  <si>
    <t>СЧ низ</t>
  </si>
  <si>
    <t>СЧ верх</t>
  </si>
  <si>
    <t>Точка для рассчёта кроссовера на графике:</t>
  </si>
  <si>
    <t>-3дБ</t>
  </si>
  <si>
    <t>-6дБ</t>
  </si>
  <si>
    <t>Разделительные фильтры</t>
  </si>
  <si>
    <t>Баттерворт</t>
  </si>
  <si>
    <t>Бессель (нормирование по амплитуде, Magnitude Normalized)</t>
  </si>
  <si>
    <t>Линквиц-Райли</t>
  </si>
  <si>
    <t>Номиналы катушек пересчитываются после автоподбора стандартных номиналов других компонентов поэтому отклонение для катушек всегда равно 0%.</t>
  </si>
  <si>
    <t>1 октава вверх или вниз – это текущая частота умноженная и разделённая на 2.</t>
  </si>
  <si>
    <t>400 Гц * 2 = 800 Гц – 1 октава вверх
400 Гц / 2 = 200 Гц – 1 октава вниз</t>
  </si>
  <si>
    <t>Const WINDING_SWELL As Double = 1.10</t>
  </si>
  <si>
    <t>1,15-1,20</t>
  </si>
  <si>
    <t>1,10 (+10% на неплотность намотки)</t>
  </si>
  <si>
    <t>Если мотать станком плотно, виток к витку можно уменьшить</t>
  </si>
  <si>
    <t>Если мотать вручную и «внавал» лучше увеличить, чтобы катушка точно влезла.</t>
  </si>
  <si>
    <t>Широко распространены в продаже для Hi-Fi</t>
  </si>
  <si>
    <t>Мощные резисторы требуют внимательного выбора материалов и параметров</t>
  </si>
  <si>
    <t>Можно, но не стоит</t>
  </si>
  <si>
    <t>УСИЛИТЕЛЬ</t>
  </si>
  <si>
    <t>клеммам динамика (+/-)</t>
  </si>
  <si>
    <t>Нагрев последовательных элементов, включённых в разрыв плюсового провода, рассчитывается с учётом диапазона рабочих частот фильтра. Стандарты распределения спектральной плотности музыкального сигнала IEC 60268-1, DIN 45573.</t>
  </si>
  <si>
    <t>Цвет</t>
  </si>
  <si>
    <t>Значение</t>
  </si>
  <si>
    <t>мм</t>
  </si>
  <si>
    <t>°С</t>
  </si>
  <si>
    <t>Индуктивность катушки 1</t>
  </si>
  <si>
    <t>Индуктивность катушки 2</t>
  </si>
  <si>
    <t>Ёмкость конденсатора</t>
  </si>
  <si>
    <t>Сопротивление резистора</t>
  </si>
  <si>
    <t>Импеданс динамика (после Zobel и Notch, если применяется)</t>
  </si>
  <si>
    <t>Сопротивление последовательного резистора</t>
  </si>
  <si>
    <t>Сопротивление параллельного резистора</t>
  </si>
  <si>
    <t>Рекомендуемая мощность последовательного резистора</t>
  </si>
  <si>
    <t>Рекомендуемая мощность параллельного резистора</t>
  </si>
  <si>
    <t>Ёмкость конденсатора 1</t>
  </si>
  <si>
    <t>Ёмкость конденсатора 2</t>
  </si>
  <si>
    <t>Импеданс динамика на частоте пика</t>
  </si>
  <si>
    <t>Сопротивление vs импеданс</t>
  </si>
  <si>
    <t>Z – номинальный усреднённый импеданс для обозначения с какому усилителю подключать</t>
  </si>
  <si>
    <r>
      <t>Z</t>
    </r>
    <r>
      <rPr>
        <vertAlign val="subscript"/>
        <sz val="11"/>
        <color theme="1"/>
        <rFont val="Bahnschrift Light"/>
        <family val="2"/>
        <charset val="204"/>
      </rPr>
      <t>c</t>
    </r>
    <r>
      <rPr>
        <sz val="11"/>
        <color theme="1"/>
        <rFont val="Bahnschrift Light"/>
        <family val="2"/>
        <charset val="204"/>
      </rPr>
      <t xml:space="preserve"> – импеданс (полное сопротивление переменному току) на конкретоной частоте, используется для расчётов фильтров</t>
    </r>
  </si>
  <si>
    <t>Индуктивность катушки (L), мГн</t>
  </si>
  <si>
    <r>
      <t>R (R</t>
    </r>
    <r>
      <rPr>
        <vertAlign val="subscript"/>
        <sz val="11"/>
        <color theme="1"/>
        <rFont val="Bahnschrift Light"/>
        <family val="2"/>
        <charset val="204"/>
      </rPr>
      <t>e</t>
    </r>
    <r>
      <rPr>
        <sz val="11"/>
        <color theme="1"/>
        <rFont val="Bahnschrift Light"/>
        <family val="2"/>
        <charset val="204"/>
      </rPr>
      <t>), DCR– активное сопротивление постоянному току, не зависит от частоты. Базовый параметр динамика</t>
    </r>
  </si>
  <si>
    <t>Кол-во витков</t>
  </si>
  <si>
    <t>Длина провода</t>
  </si>
  <si>
    <t>шт.</t>
  </si>
  <si>
    <t>СЧ верх L1</t>
  </si>
  <si>
    <t>СЧ верх L2</t>
  </si>
  <si>
    <t>СЧ низ L1</t>
  </si>
  <si>
    <t>СЧ низ L2</t>
  </si>
  <si>
    <t>ВЧ L1</t>
  </si>
  <si>
    <t>ВЧ L2</t>
  </si>
  <si>
    <t>НЧ L 1</t>
  </si>
  <si>
    <t>НЧ L2</t>
  </si>
  <si>
    <t>DCR
катушки,
Ом</t>
  </si>
  <si>
    <t>Сопротивление катушки постоянному току (DCR) | Кол-во витков</t>
  </si>
  <si>
    <t>Высота намотки | Вариант каркаса катушки Брукса</t>
  </si>
  <si>
    <t>20/10</t>
  </si>
  <si>
    <t>25/12,5</t>
  </si>
  <si>
    <t>30/15</t>
  </si>
  <si>
    <t>35/17,5</t>
  </si>
  <si>
    <t>40/20</t>
  </si>
  <si>
    <t>50/25</t>
  </si>
  <si>
    <t>60/30</t>
  </si>
  <si>
    <t>70/35</t>
  </si>
  <si>
    <t>+DCR</t>
  </si>
  <si>
    <t>Стандартные номиналы
рабочего напряжения конденсаторов, В</t>
  </si>
  <si>
    <t>Мощность усилителя</t>
  </si>
  <si>
    <t>8 Ом</t>
  </si>
  <si>
    <t>4 Ом</t>
  </si>
  <si>
    <t>16 Ом</t>
  </si>
  <si>
    <t>Электролитические неполярные.
Для НЧ и режектора, …1500 мкФ</t>
  </si>
  <si>
    <t>Плёночные (MKP, MKT), до 100 мкФ</t>
  </si>
  <si>
    <t>Стандартные номиналы
мощности выводных резисторов, Вт</t>
  </si>
  <si>
    <t>Сопротивление резистора - DCR катушки</t>
  </si>
  <si>
    <t>DCR катушки и проверка на % отклонения от Re | Кол-во витков</t>
  </si>
  <si>
    <t>% мощности
от 0 Гц до f</t>
  </si>
  <si>
    <t>Коэф., K</t>
  </si>
  <si>
    <t>Мощность усилителя, Вт</t>
  </si>
  <si>
    <t>f, Гц</t>
  </si>
  <si>
    <t>Мощность конденсаторов (&gt;=), В</t>
  </si>
  <si>
    <t>Ручной ввод данных</t>
  </si>
  <si>
    <t>Данные считаются по формулам на текущем листе</t>
  </si>
  <si>
    <t>Данные берутся из расчёта другого листа</t>
  </si>
  <si>
    <t>Светофор проверки данных в ячейках</t>
  </si>
  <si>
    <t>Показатели в допустимых значениях</t>
  </si>
  <si>
    <t>Требуется проверка данных для расчёта</t>
  </si>
  <si>
    <t>Функция OPTIMAL_BOBBIN</t>
  </si>
  <si>
    <t>Const MAX_TEMP As Double = 80#</t>
  </si>
  <si>
    <t>Максимально допустимая для расчётов температура (°C)</t>
  </si>
  <si>
    <t>Const SAFETY_GAP As Double = 1#</t>
  </si>
  <si>
    <t>1 мм запаса до края щёчки</t>
  </si>
  <si>
    <t>Линквиц-Райли 4-го порядка ВЧ (Singly-Terminated Prototype)</t>
  </si>
  <si>
    <t>Линквиц-Райли 4-го порядка НЧ (Singly-Terminated Prototype)</t>
  </si>
  <si>
    <t>Стандартные ряды E3, E6, E12, E24
(резисторы, конденсаторы)</t>
  </si>
  <si>
    <t>Схема соотношение сторон в катушке Брукса</t>
  </si>
  <si>
    <t>3/2; 4/3; 1/2</t>
  </si>
  <si>
    <t>В ячейка с расчётами применяются точные уравнения для коэффициентов фильтров. Ниже сами коэффициенты для справки</t>
  </si>
  <si>
    <t>Электрическая добротность | + DCR последовательных катушек</t>
  </si>
  <si>
    <t>Полная добротность | + DCR последовательных катушек</t>
  </si>
  <si>
    <t>Индуктивность катушки паспортная или на частоте среза кроссовера</t>
  </si>
  <si>
    <t>Если Cn &gt; 100 мкФ, то нужно ESR электролита, иначе 0,0</t>
  </si>
  <si>
    <t>DCR катушки и % её отклонения от Re   |   Кол-во витков</t>
  </si>
  <si>
    <t>Аттенюатор</t>
  </si>
  <si>
    <t>Звено</t>
  </si>
  <si>
    <t>Кроссовер</t>
  </si>
  <si>
    <t>Цобель</t>
  </si>
  <si>
    <t>Режектор</t>
  </si>
  <si>
    <t>Бафл-стэп</t>
  </si>
  <si>
    <t>Компенсация роста индуктивного сопротивления (импеданса) звуковой катушки с повышением частоты, чтобы разделительный фильтр видел постоянную нагрузку. ВЧ динамикам требуется редко – рост их индуктивности обычно мал.</t>
  </si>
  <si>
    <t>в разрыв цепи плюсового (+) провода</t>
  </si>
  <si>
    <t>Фильтры устанавливаются</t>
  </si>
  <si>
    <t>Компенсация дифракционных потерь
(Baffle step compensation)</t>
  </si>
  <si>
    <t>Назначение динамика</t>
  </si>
  <si>
    <r>
      <t>Узкополосный заграждающий фильтр, для подавления пика импеданса катушки динамика на частоте резонанса F</t>
    </r>
    <r>
      <rPr>
        <vertAlign val="subscript"/>
        <sz val="11"/>
        <color theme="1"/>
        <rFont val="Bahnschrift SemiLight SemiConde"/>
        <family val="2"/>
        <charset val="204"/>
      </rPr>
      <t>S</t>
    </r>
    <r>
      <rPr>
        <sz val="11"/>
        <color theme="1"/>
        <rFont val="Bahnschrift SemiLight SemiConde"/>
        <family val="2"/>
        <charset val="204"/>
      </rPr>
      <t>. Необходим, если пик находится ближе 2 октав от частоты среза разделительного фильтра для его корректной работы на всём рабочем диапазоне.</t>
    </r>
  </si>
  <si>
    <t>Разделяет общий сигнал, отсекая ненужный диапазон выше и/или ниже заданной частоты.</t>
  </si>
  <si>
    <t>Эффект «baffle step» физически связан с дифракцией звуковых волн на краях передней панели (бафл) акустической системы. На низких частотах волна начинает огибать корпус, из-за чего звуковое давление ниже этой частоты падает. Фильтр приглушает всё, что звучит выше частоты бафл-степа, восстанавливая тональный баланс.</t>
  </si>
  <si>
    <t>Согласовывает чувствительность (громкость) динамиков, при этом сохраняя сопротивление динамиков одинаковым на всём воспроихводимом диапазоне частот для правильной работы разделительного фильтра.</t>
  </si>
  <si>
    <t>и последовательность установки и возможность использования фильтров для динамика (звена)</t>
  </si>
  <si>
    <t>параллельно</t>
  </si>
  <si>
    <t>последовательно</t>
  </si>
  <si>
    <t>возможно</t>
  </si>
  <si>
    <t>Полная добротность с кореекцией</t>
  </si>
  <si>
    <t>Эквивалентный объём</t>
  </si>
  <si>
    <t>Целевая полная добротность</t>
  </si>
  <si>
    <t>Требуемый рабочий объём</t>
  </si>
  <si>
    <t>Л</t>
  </si>
  <si>
    <t>0,8…1,0</t>
  </si>
  <si>
    <t>Горб на мидбасе (панч)</t>
  </si>
  <si>
    <t>Целевая полная добротность:</t>
  </si>
  <si>
    <t>Плотный бас (стандарт)</t>
  </si>
  <si>
    <t>Ранний спад баса (аудиофильский)</t>
  </si>
  <si>
    <t>0,5 … 0,577</t>
  </si>
  <si>
    <t>0,3 … 0,35</t>
  </si>
  <si>
    <t>0,38 … 0,45</t>
  </si>
  <si>
    <t>Паспортный Qts динамика &gt;=:</t>
  </si>
  <si>
    <t>Z1</t>
  </si>
  <si>
    <t>Z2</t>
  </si>
  <si>
    <t>Δφ</t>
  </si>
  <si>
    <t>+/-</t>
  </si>
  <si>
    <t>°</t>
  </si>
  <si>
    <t>Глубина 1-го динамика</t>
  </si>
  <si>
    <t>Глубина 2-го динамика</t>
  </si>
  <si>
    <t>Сдвиг фазы на частоте раздела</t>
  </si>
  <si>
    <t>Нужна ли переполюсовка</t>
  </si>
  <si>
    <t>Zmin из графика импеданса (Опционально, но точнее, чем Re)</t>
  </si>
  <si>
    <t>НЧ/СЧ</t>
  </si>
  <si>
    <t>СЧ/ВЧ</t>
  </si>
  <si>
    <t>Какие пары считаем</t>
  </si>
  <si>
    <t>ПУСТО</t>
  </si>
  <si>
    <t>НЧ/ВЧ</t>
  </si>
  <si>
    <t>Если нет второй пары</t>
  </si>
  <si>
    <t>Для двухполоски</t>
  </si>
  <si>
    <t>Для трёхполоски</t>
  </si>
  <si>
    <t>…</t>
  </si>
  <si>
    <t>-6dB</t>
  </si>
  <si>
    <t>Частота симметричного кроссовера</t>
  </si>
  <si>
    <t>или акустического пересечения, если НЕ симметричный</t>
  </si>
  <si>
    <t>6 дБ/окт</t>
  </si>
  <si>
    <t>12 дБ/окт</t>
  </si>
  <si>
    <t>18 дБ/окт</t>
  </si>
  <si>
    <t>24 дБ/окт</t>
  </si>
  <si>
    <t>4-й порядок</t>
  </si>
  <si>
    <t>3-й порядок</t>
  </si>
  <si>
    <t>2-й порядок</t>
  </si>
  <si>
    <t>Поворот фазы в зависимости от порядка кроссовера и звена</t>
  </si>
  <si>
    <t xml:space="preserve">1-й порядок </t>
  </si>
  <si>
    <t>+45°</t>
  </si>
  <si>
    <t>+90°</t>
  </si>
  <si>
    <t>+135°</t>
  </si>
  <si>
    <t>+180°</t>
  </si>
  <si>
    <t>-45°</t>
  </si>
  <si>
    <t>-90°</t>
  </si>
  <si>
    <t>-135°</t>
  </si>
  <si>
    <t>-180°</t>
  </si>
  <si>
    <t>Бт1</t>
  </si>
  <si>
    <t>Бт2</t>
  </si>
  <si>
    <t>Бт3</t>
  </si>
  <si>
    <t>Бе2</t>
  </si>
  <si>
    <t>Бе3</t>
  </si>
  <si>
    <t>ЛР2</t>
  </si>
  <si>
    <t>ЛР4</t>
  </si>
  <si>
    <t>Межцентровое расстояние</t>
  </si>
  <si>
    <t>Зазор между фланцами</t>
  </si>
  <si>
    <t>Диаметр фланца нижнего динамика</t>
  </si>
  <si>
    <t>Диаметр фланца верхнего динамика</t>
  </si>
  <si>
    <t>Идеально</t>
  </si>
  <si>
    <t>Хорошо</t>
  </si>
  <si>
    <t>&lt; Fc</t>
  </si>
  <si>
    <t>Работает как точечный излучатель</t>
  </si>
  <si>
    <t>Лепестки вне зоны прослушивания</t>
  </si>
  <si>
    <t>Cнижать частоту Fc или сдвигать динамики</t>
  </si>
  <si>
    <t>Ø</t>
  </si>
  <si>
    <t>Расчёт рабочего объёма (Box volume)</t>
  </si>
  <si>
    <t>Интерференция динамиков и Y–offset</t>
  </si>
  <si>
    <t>Переполюсавка динамиков и Z–offset</t>
  </si>
  <si>
    <t>Желаемая частота настройки ФИ</t>
  </si>
  <si>
    <t>Проверка</t>
  </si>
  <si>
    <t>Количество АС</t>
  </si>
  <si>
    <t>Узел</t>
  </si>
  <si>
    <t>Позиция</t>
  </si>
  <si>
    <t>Компонент</t>
  </si>
  <si>
    <t>Номинал</t>
  </si>
  <si>
    <t>Ед.</t>
  </si>
  <si>
    <t>Кол-во</t>
  </si>
  <si>
    <t>Рейтинг</t>
  </si>
  <si>
    <t>Витков</t>
  </si>
  <si>
    <t>Каркас</t>
  </si>
  <si>
    <t>Параметры намотки</t>
  </si>
  <si>
    <t>Состав кроссовера</t>
  </si>
  <si>
    <t>—</t>
  </si>
  <si>
    <t>Включить</t>
  </si>
  <si>
    <t>Ø провода</t>
  </si>
  <si>
    <t>Параметры</t>
  </si>
  <si>
    <t>Кроссовер НЧ</t>
  </si>
  <si>
    <t>Конденсатор</t>
  </si>
  <si>
    <t>Катушка</t>
  </si>
  <si>
    <t>Rbs</t>
  </si>
  <si>
    <t>Резистор</t>
  </si>
  <si>
    <t>RA1 посл.</t>
  </si>
  <si>
    <t>RA2 паралл.</t>
  </si>
  <si>
    <t>Cz</t>
  </si>
  <si>
    <t>Rz</t>
  </si>
  <si>
    <t>Cn</t>
  </si>
  <si>
    <t>Rn</t>
  </si>
  <si>
    <t>Ln</t>
  </si>
  <si>
    <t>Кроссовер СЧ низ</t>
  </si>
  <si>
    <t>C1 HP</t>
  </si>
  <si>
    <t>C2 HP</t>
  </si>
  <si>
    <t>L1 HP</t>
  </si>
  <si>
    <t>L2 HP</t>
  </si>
  <si>
    <t>Кроссовер СЧ верх</t>
  </si>
  <si>
    <t>C1 LP</t>
  </si>
  <si>
    <t>C2 LP</t>
  </si>
  <si>
    <t>L1 LP</t>
  </si>
  <si>
    <t>L2 LP</t>
  </si>
  <si>
    <t>Кроссовер ВЧ</t>
  </si>
  <si>
    <t>Кол-во / метраж</t>
  </si>
  <si>
    <t>Режим используемой частоты</t>
  </si>
  <si>
    <t>режим</t>
  </si>
  <si>
    <t>Чистый рабочий объём корпуса ФИ</t>
  </si>
  <si>
    <t>Vb</t>
  </si>
  <si>
    <t>Итоговая теоретическая фаза</t>
  </si>
  <si>
    <t>φΣ</t>
  </si>
  <si>
    <t>Остаточная фаза после полярности</t>
  </si>
  <si>
    <t>φост</t>
  </si>
  <si>
    <t>Рекомендуемая коррекция (Z2-Z1)</t>
  </si>
  <si>
    <t>ΔZ</t>
  </si>
  <si>
    <t>Знак +: увеличить Z2-Z1</t>
  </si>
  <si>
    <t>Расчёт теоретический — подтвердить измерением</t>
  </si>
  <si>
    <t>Используемая частота раздела</t>
  </si>
  <si>
    <t>fc</t>
  </si>
  <si>
    <t>Отношение расстояния к длине волны</t>
  </si>
  <si>
    <t>d/λ</t>
  </si>
  <si>
    <t>Первый провал вне оси (оценка)</t>
  </si>
  <si>
    <t>θnull</t>
  </si>
  <si>
    <t>Расстояние до слушателя</t>
  </si>
  <si>
    <t>R</t>
  </si>
  <si>
    <t>θzone</t>
  </si>
  <si>
    <t>Максимальная частота при d = λ</t>
  </si>
  <si>
    <t>Тип порта</t>
  </si>
  <si>
    <t>тип</t>
  </si>
  <si>
    <t>Круглый</t>
  </si>
  <si>
    <t>Круглый / Щелевой</t>
  </si>
  <si>
    <t>Количество одинаковых портов</t>
  </si>
  <si>
    <t>N</t>
  </si>
  <si>
    <t>шт</t>
  </si>
  <si>
    <t>Fb</t>
  </si>
  <si>
    <t>Условия окончания порта</t>
  </si>
  <si>
    <t>концы</t>
  </si>
  <si>
    <t>Один фланец</t>
  </si>
  <si>
    <t>Внутренний диаметр круглого порта</t>
  </si>
  <si>
    <t>Высота щелевого порта</t>
  </si>
  <si>
    <t>H</t>
  </si>
  <si>
    <t>Ширина щелевого порта</t>
  </si>
  <si>
    <t>W</t>
  </si>
  <si>
    <t>Площадь одного порта</t>
  </si>
  <si>
    <t>S1</t>
  </si>
  <si>
    <t>см²</t>
  </si>
  <si>
    <t>Суммарная площадь портов</t>
  </si>
  <si>
    <t>SΣ</t>
  </si>
  <si>
    <t>Эквивалентный диаметр одного порта</t>
  </si>
  <si>
    <t>Deq</t>
  </si>
  <si>
    <t>Расчётная длина каждого порта</t>
  </si>
  <si>
    <t>Объём, вытесняемый портами</t>
  </si>
  <si>
    <t>Vпорт</t>
  </si>
  <si>
    <t>Vgross</t>
  </si>
  <si>
    <t>Первая продольная мода порта</t>
  </si>
  <si>
    <t>fpipe</t>
  </si>
  <si>
    <t>Проверка резонанса порта</t>
  </si>
  <si>
    <t>статус</t>
  </si>
  <si>
    <t>Сравнение с верхней границей полосы НЧ</t>
  </si>
  <si>
    <t>Отношение сторон щелевого порта</t>
  </si>
  <si>
    <t>W/H</t>
  </si>
  <si>
    <t>Свободный зазор до внутренней стенки</t>
  </si>
  <si>
    <t>зазор</t>
  </si>
  <si>
    <t>Минимальный рекомендуемый зазор</t>
  </si>
  <si>
    <t>min</t>
  </si>
  <si>
    <t>Проверка внутреннего зазора</t>
  </si>
  <si>
    <t>Общая геометрическая проверка</t>
  </si>
  <si>
    <t>Щелевой</t>
  </si>
  <si>
    <t>Два свободных</t>
  </si>
  <si>
    <t>Два фланца</t>
  </si>
  <si>
    <t>Эффективная площадь диффузора одного НЧ</t>
  </si>
  <si>
    <t>Sd</t>
  </si>
  <si>
    <t>Линейный ход одного НЧ-динамика</t>
  </si>
  <si>
    <t>Xmax</t>
  </si>
  <si>
    <t>Количество НЧ-динамиков в одной АС</t>
  </si>
  <si>
    <t>Nд</t>
  </si>
  <si>
    <t>Контрольная мощность</t>
  </si>
  <si>
    <t>Pконтр</t>
  </si>
  <si>
    <t>Ход диффузора на Fb при Pконтр</t>
  </si>
  <si>
    <t>Xfb</t>
  </si>
  <si>
    <t>Целевая скорость воздуха</t>
  </si>
  <si>
    <t>vцель</t>
  </si>
  <si>
    <t>м/с</t>
  </si>
  <si>
    <t>Предельная скорость воздуха</t>
  </si>
  <si>
    <t>vпредел</t>
  </si>
  <si>
    <t>Sd и Xmax — паспортные параметры одного динамика</t>
  </si>
  <si>
    <t>Xfb брать из симуляции ФИ при Pконтр</t>
  </si>
  <si>
    <t>Скорость воздуха и мощность рассчитываются ниже</t>
  </si>
  <si>
    <t>Суммарная площадь диффузоров</t>
  </si>
  <si>
    <t>SdΣ</t>
  </si>
  <si>
    <t>Отношение площади порта к SdΣ</t>
  </si>
  <si>
    <t>Sпорт/Sd</t>
  </si>
  <si>
    <t>%</t>
  </si>
  <si>
    <t>Скорость воздуха при Pконтр</t>
  </si>
  <si>
    <t>vпорт</t>
  </si>
  <si>
    <t>Число Маха при Pконтр</t>
  </si>
  <si>
    <t>M</t>
  </si>
  <si>
    <t>Проверка скорости воздуха</t>
  </si>
  <si>
    <t>Отношение справочное; итог оценивается по скорости</t>
  </si>
  <si>
    <t>Допустимая мощность по скорости порта</t>
  </si>
  <si>
    <t>Pпорт</t>
  </si>
  <si>
    <t>Допустимая мощность по Xmax</t>
  </si>
  <si>
    <t>Pxmax</t>
  </si>
  <si>
    <t>Рекомендуемая мощность с учётом усилителя</t>
  </si>
  <si>
    <t>Pрек</t>
  </si>
  <si>
    <t>Скорость воздуха при достижении Xmax</t>
  </si>
  <si>
    <t>v@Xmax</t>
  </si>
  <si>
    <t>Главное ограничение</t>
  </si>
  <si>
    <t>лимит</t>
  </si>
  <si>
    <t>Минимум из усилителя, порта и механического хода</t>
  </si>
  <si>
    <t>Оценка не учитывает компрессию, турбулентность и нелинейность подвеса</t>
  </si>
  <si>
    <t>Измеренная фазовая поправка динамиков</t>
  </si>
  <si>
    <t>φизм</t>
  </si>
  <si>
    <t>DSP-задержка 2-го динамика относительно 1-го</t>
  </si>
  <si>
    <t>tDSP</t>
  </si>
  <si>
    <t>мс</t>
  </si>
  <si>
    <t>Итоговая фаза с поправками</t>
  </si>
  <si>
    <t>φкорр</t>
  </si>
  <si>
    <t>Высота акустической оси</t>
  </si>
  <si>
    <t>Haxis</t>
  </si>
  <si>
    <t>Минимальная высота ушей</t>
  </si>
  <si>
    <t>Hear min</t>
  </si>
  <si>
    <t>Максимальная высота ушей</t>
  </si>
  <si>
    <t>Hear max</t>
  </si>
  <si>
    <t>Максимальный угловой уход от оси</t>
  </si>
  <si>
    <t>Объём с учётом портов</t>
  </si>
  <si>
    <t>Вытеснение НЧ-динамиков</t>
  </si>
  <si>
    <t>Vdrv</t>
  </si>
  <si>
    <t>Вытеснение распорок и усилений</t>
  </si>
  <si>
    <t>Vbr</t>
  </si>
  <si>
    <t>Вытеснение фильтра и проводки</t>
  </si>
  <si>
    <t>Vxo</t>
  </si>
  <si>
    <t>Прочий резерв объёма</t>
  </si>
  <si>
    <t>Vres</t>
  </si>
  <si>
    <t>Требуемый внутренний строительный объём</t>
  </si>
  <si>
    <t>Vкорп</t>
  </si>
  <si>
    <t>Доступная внутренняя глубина для порта</t>
  </si>
  <si>
    <t>Depth</t>
  </si>
  <si>
    <t>Полезная длина одного прямого участка</t>
  </si>
  <si>
    <t>Lseg</t>
  </si>
  <si>
    <t>Допустимое количество поворотов</t>
  </si>
  <si>
    <t>Nbend</t>
  </si>
  <si>
    <t>Оценочная доступная длина трассы</t>
  </si>
  <si>
    <t>Lpath</t>
  </si>
  <si>
    <t>Минимально требуемое число поворотов</t>
  </si>
  <si>
    <t>Nbend min</t>
  </si>
  <si>
    <t>Проверка размещения порта</t>
  </si>
  <si>
    <t>Введите суммарное вытеснение всех НЧ-динамиков в одной АС</t>
  </si>
  <si>
    <t>Чистый Vb + порт + динамики + распорки + фильтр + резерв</t>
  </si>
  <si>
    <t>Оценка трассы; окончательную геометрию подтвердить чертежом/CAD</t>
  </si>
  <si>
    <t>Сводка расчётных проверок</t>
  </si>
  <si>
    <t>Камера СЧ</t>
  </si>
  <si>
    <t>Фаза и полярность пары 1</t>
  </si>
  <si>
    <t>Фаза и полярность пары 2</t>
  </si>
  <si>
    <t>Интерференция пары 1</t>
  </si>
  <si>
    <t>Интерференция пары 2</t>
  </si>
  <si>
    <t>Геометрия фазоинвертора</t>
  </si>
  <si>
    <t>Размещение фазоинвертора</t>
  </si>
  <si>
    <t>Скорость воздуха</t>
  </si>
  <si>
    <t>Допустимая мощность</t>
  </si>
  <si>
    <t>Строительный внутренний объём</t>
  </si>
  <si>
    <t>Общий итог</t>
  </si>
  <si>
    <t>Скорость воздуха и допустимая мощность порта (оценка по ходу диффузора на частоте Fb)</t>
  </si>
  <si>
    <t>Фазоинвертор (Bass reflex port). Геометрия ФИ без проверки скорости воздуха</t>
  </si>
  <si>
    <t>Используется в D53: поправка концов 0,61 / 0,73 / 0,82 × Deq</t>
  </si>
  <si>
    <t>Pamp</t>
  </si>
  <si>
    <t>Re</t>
  </si>
  <si>
    <t>Le</t>
  </si>
  <si>
    <t>Fs</t>
  </si>
  <si>
    <t>Qms</t>
  </si>
  <si>
    <t>Qes</t>
  </si>
  <si>
    <t>Qts</t>
  </si>
  <si>
    <t>Zmin</t>
  </si>
  <si>
    <t>PRz</t>
  </si>
  <si>
    <t>Zn</t>
  </si>
  <si>
    <t>Рабочая t катушки | Ø провода катушки</t>
  </si>
  <si>
    <t>RnΩ</t>
  </si>
  <si>
    <t>RnΩESR</t>
  </si>
  <si>
    <t>PRn</t>
  </si>
  <si>
    <t>AdB</t>
  </si>
  <si>
    <t>KA</t>
  </si>
  <si>
    <t>RA1</t>
  </si>
  <si>
    <t>RA2</t>
  </si>
  <si>
    <t>PRA1</t>
  </si>
  <si>
    <t>PRA2</t>
  </si>
  <si>
    <t>Fc</t>
  </si>
  <si>
    <t>Импеданс динамика на частоте среза Fc</t>
  </si>
  <si>
    <t>Zс</t>
  </si>
  <si>
    <t>Шbs</t>
  </si>
  <si>
    <t>fbs</t>
  </si>
  <si>
    <t>Abs</t>
  </si>
  <si>
    <t>Cопротивление динамика на частоте fbs</t>
  </si>
  <si>
    <t>Zbs</t>
  </si>
  <si>
    <t>tмакс.,
°C</t>
  </si>
  <si>
    <t>tспектр.,
°С</t>
  </si>
  <si>
    <t>Константы расчёта</t>
  </si>
  <si>
    <t>Скорость звука</t>
  </si>
  <si>
    <t>мм/с</t>
  </si>
  <si>
    <t>Верхняя частота диапазона</t>
  </si>
  <si>
    <t>Коэффициент пикового напряжения</t>
  </si>
  <si>
    <t>×</t>
  </si>
  <si>
    <t>Запас по напряжению</t>
  </si>
  <si>
    <t>Qts'</t>
  </si>
  <si>
    <t>Qtс</t>
  </si>
  <si>
    <t>Vas</t>
  </si>
  <si>
    <t>Fcmax</t>
  </si>
  <si>
    <t>0,50…</t>
  </si>
  <si>
    <t>Мощность усилителя,
Вт</t>
  </si>
  <si>
    <t>Знач.</t>
  </si>
  <si>
    <t>Исходный график гипотетического динамика</t>
  </si>
  <si>
    <t>– Включите нужные конпоненты для фильтра исписок обновится автоматически.
– Одинаковые компоненты объединяются по спецификации.
– Провод для катушек отдельно только по диаметру с общим метражом.
– Бафл-стэп только НЧ, количество умножается на число АС.</t>
  </si>
  <si>
    <t>Спецификация по полосам</t>
  </si>
  <si>
    <t>Ведомость закупки</t>
  </si>
  <si>
    <t>Распределение коэф. Спектральной мощности в зависимости от частоты, 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</si>
</sst>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0.000;\-0.000;&quot;—&quot;"/>
    <numFmt numFmtId="167" formatCode="0.000;\-0.000;&quot;&quot;"/>
    <numFmt numFmtId="168" formatCode="0.###"/>
    <numFmt numFmtId="169" formatCode="0.0%"/>
    <numFmt numFmtId="170" formatCode="0.000000"/>
  </numFmts>
  <fonts count="50" x14ac:knownFonts="1">
    <font>
      <sz val="11"/>
      <color theme="1"/>
      <name val="Calibri"/>
      <family val="2"/>
      <charset val="204"/>
    </font>
    <font>
      <sz val="11"/>
      <color theme="1"/>
      <name val="Bahnschrift SemiLight SemiConde"/>
      <family val="2"/>
      <charset val="204"/>
    </font>
    <font>
      <vertAlign val="subscript"/>
      <sz val="11"/>
      <color theme="1"/>
      <name val="Bahnschrift SemiLight SemiConde"/>
      <family val="2"/>
      <charset val="204"/>
    </font>
    <font>
      <sz val="11"/>
      <color theme="9" tint="-0.499984740745262"/>
      <name val="Bahnschrift"/>
      <family val="2"/>
      <charset val="204"/>
    </font>
    <font>
      <sz val="11"/>
      <name val="Bahnschrift"/>
      <family val="2"/>
      <charset val="204"/>
    </font>
    <font>
      <sz val="11"/>
      <color theme="5" tint="-0.499984740745262"/>
      <name val="Bahnschrift"/>
      <family val="2"/>
      <charset val="204"/>
    </font>
    <font>
      <sz val="11"/>
      <color theme="7" tint="-0.499984740745262"/>
      <name val="Bahnschrift"/>
      <family val="2"/>
      <charset val="204"/>
    </font>
    <font>
      <sz val="11"/>
      <name val="Bahnschrift SemiLight SemiConde"/>
      <family val="2"/>
      <charset val="204"/>
    </font>
    <font>
      <sz val="18"/>
      <color theme="1"/>
      <name val="Bahnschrift"/>
      <family val="2"/>
      <charset val="204"/>
    </font>
    <font>
      <sz val="11"/>
      <name val="Bahnschrift SemiBold"/>
      <family val="2"/>
      <charset val="204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theme="1"/>
      <name val="Bahnschrift Light"/>
      <family val="2"/>
      <charset val="204"/>
    </font>
    <font>
      <sz val="11"/>
      <name val="Bahnschrift Light"/>
      <family val="2"/>
      <charset val="204"/>
    </font>
    <font>
      <sz val="18"/>
      <name val="Bahnschrift SemiBold"/>
      <family val="2"/>
      <charset val="204"/>
    </font>
    <font>
      <sz val="18"/>
      <name val="Bahnschrift"/>
      <family val="2"/>
      <charset val="204"/>
    </font>
    <font>
      <sz val="18"/>
      <name val="Bahnschrift Light"/>
      <family val="2"/>
      <charset val="204"/>
    </font>
    <font>
      <sz val="9"/>
      <name val="Bahnschrift"/>
      <family val="2"/>
      <charset val="204"/>
    </font>
    <font>
      <sz val="11"/>
      <color theme="9" tint="-0.499984740745262"/>
      <name val="Bahnschrift Light"/>
      <family val="2"/>
      <charset val="204"/>
    </font>
    <font>
      <vertAlign val="subscript"/>
      <sz val="11"/>
      <color theme="9" tint="-0.499984740745262"/>
      <name val="Bahnschrift Light"/>
      <family val="2"/>
      <charset val="204"/>
    </font>
    <font>
      <vertAlign val="superscript"/>
      <sz val="11"/>
      <color theme="9" tint="-0.499984740745262"/>
      <name val="Bahnschrift Light"/>
      <family val="2"/>
      <charset val="204"/>
    </font>
    <font>
      <sz val="11"/>
      <color rgb="FF1F1F1F"/>
      <name val="Bahnschrift Light"/>
      <family val="2"/>
      <charset val="204"/>
    </font>
    <font>
      <sz val="11"/>
      <color rgb="FF006100"/>
      <name val="Bahnschrift Light"/>
      <family val="2"/>
      <charset val="204"/>
    </font>
    <font>
      <sz val="11"/>
      <color rgb="FF9C5700"/>
      <name val="Bahnschrift Light"/>
      <family val="2"/>
      <charset val="204"/>
    </font>
    <font>
      <sz val="11"/>
      <color rgb="FFCC0000"/>
      <name val="Bahnschrift Light"/>
      <family val="2"/>
      <charset val="204"/>
    </font>
    <font>
      <sz val="11"/>
      <color theme="0" tint="-0.34998626667073579"/>
      <name val="Bahnschrift Light"/>
      <family val="2"/>
      <charset val="204"/>
    </font>
    <font>
      <sz val="11"/>
      <color theme="1"/>
      <name val="Bahnschrift"/>
      <family val="2"/>
      <charset val="204"/>
    </font>
    <font>
      <vertAlign val="subscript"/>
      <sz val="11"/>
      <color theme="1"/>
      <name val="Bahnschrift Light"/>
      <family val="2"/>
      <charset val="204"/>
    </font>
    <font>
      <sz val="11"/>
      <color theme="0" tint="-0.499984740745262"/>
      <name val="Bahnschrift Light"/>
      <family val="2"/>
      <charset val="204"/>
    </font>
    <font>
      <sz val="11"/>
      <color rgb="FFC00000"/>
      <name val="Bahnschrift Light"/>
      <family val="2"/>
      <charset val="204"/>
    </font>
    <font>
      <sz val="10"/>
      <name val="Bahnschrift Light"/>
      <family val="2"/>
      <charset val="204"/>
    </font>
    <font>
      <sz val="11"/>
      <color theme="0" tint="-0.14999847407452621"/>
      <name val="Bahnschrift Light"/>
      <family val="2"/>
      <charset val="204"/>
    </font>
    <font>
      <sz val="11"/>
      <color rgb="FF1F1F1F"/>
      <name val="Bahnschrift"/>
      <family val="2"/>
      <charset val="204"/>
    </font>
    <font>
      <sz val="11"/>
      <color theme="0" tint="-0.14999847407452621"/>
      <name val="Bahnschrift"/>
      <family val="2"/>
      <charset val="204"/>
    </font>
    <font>
      <sz val="11"/>
      <name val="Bahnschrift Light SemiCondensed"/>
      <family val="2"/>
      <charset val="204"/>
    </font>
    <font>
      <sz val="11"/>
      <name val="Bahnschrift SemiCondensed"/>
      <family val="2"/>
      <charset val="204"/>
    </font>
    <font>
      <sz val="11"/>
      <color rgb="FF000000"/>
      <name val="Bahnschrift Light"/>
      <family val="2"/>
      <charset val="204"/>
    </font>
    <font>
      <sz val="11"/>
      <color rgb="FF000000"/>
      <name val="Bahnschrift Light SemiCondensed"/>
      <family val="2"/>
      <charset val="204"/>
    </font>
    <font>
      <sz val="11"/>
      <color rgb="FF000000"/>
      <name val="Bahnschrift SemiCondensed"/>
      <family val="2"/>
      <charset val="204"/>
    </font>
    <font>
      <sz val="18"/>
      <color rgb="FF000000"/>
      <name val="Bahnschrift Light SemiCondensed"/>
      <family val="2"/>
      <charset val="204"/>
    </font>
    <font>
      <sz val="18"/>
      <color rgb="FF000000"/>
      <name val="Bahnschrift SemiCondensed"/>
      <family val="2"/>
      <charset val="204"/>
    </font>
    <font>
      <sz val="8"/>
      <color theme="1"/>
      <name val="Bahnschrift"/>
      <family val="2"/>
      <charset val="204"/>
    </font>
    <font>
      <sz val="8"/>
      <color theme="1"/>
      <name val="Bahnschrift SemiLight SemiConde"/>
      <family val="2"/>
      <charset val="204"/>
    </font>
    <font>
      <sz val="18"/>
      <color rgb="FF000000"/>
      <name val="Bahnschrift SemiLight SemiConde"/>
      <family val="2"/>
      <charset val="204"/>
    </font>
    <font>
      <b/>
      <sz val="18"/>
      <color rgb="FF000000"/>
      <name val="Bahnschrift SemiLight SemiConde"/>
      <family val="2"/>
      <charset val="204"/>
    </font>
    <font>
      <b/>
      <sz val="11"/>
      <color rgb="FF000000"/>
      <name val="Bahnschrift SemiLight SemiConde"/>
      <family val="2"/>
      <charset val="204"/>
    </font>
    <font>
      <sz val="11"/>
      <color rgb="FF000000"/>
      <name val="Bahnschrift SemiLight SemiConde"/>
      <family val="2"/>
      <charset val="204"/>
    </font>
    <font>
      <sz val="11"/>
      <color rgb="FF7F7F7F"/>
      <name val="Bahnschrift SemiLight SemiConde"/>
      <family val="2"/>
      <charset val="204"/>
    </font>
    <font>
      <b/>
      <sz val="11"/>
      <color theme="1"/>
      <name val="Calibri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4.9989318521683403E-2"/>
        <bgColor rgb="FFE9E9E9"/>
      </patternFill>
    </fill>
    <fill>
      <patternFill patternType="solid">
        <fgColor theme="7" tint="0.79998168889431442"/>
        <bgColor rgb="FFF2F2F2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9" tint="0.79998168889431442"/>
        <bgColor rgb="FFC6EFCE"/>
      </patternFill>
    </fill>
    <fill>
      <patternFill patternType="solid">
        <fgColor theme="0"/>
        <bgColor rgb="FFC6EFCE"/>
      </patternFill>
    </fill>
    <fill>
      <patternFill patternType="solid">
        <fgColor theme="0"/>
        <bgColor rgb="FFE9E9E9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8" tint="0.7999816888943144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theme="0" tint="-0.34998626667073579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rgb="FFFF999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79998168889431442"/>
        <bgColor theme="5" tint="0.39991454817346722"/>
      </patternFill>
    </fill>
    <fill>
      <patternFill patternType="solid">
        <f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rgb="FFE9E9E9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AF7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medium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/>
      <bottom style="medium">
        <color theme="0"/>
      </bottom>
      <diagonal/>
    </border>
    <border>
      <left/>
      <right style="thick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thick">
        <color theme="0"/>
      </bottom>
      <diagonal/>
    </border>
    <border>
      <left/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</borders>
  <cellStyleXfs count="4">
    <xf numFmtId="0" fontId="0" fillId="0" borderId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9" borderId="0" applyNumberFormat="0" applyBorder="0" applyAlignment="0" applyProtection="0"/>
  </cellStyleXfs>
  <cellXfs count="550">
    <xf numFmtId="0" fontId="0" fillId="0" borderId="0" xfId="0" applyAlignment="1"/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 indent="1"/>
    </xf>
    <xf numFmtId="0" fontId="1" fillId="2" borderId="0" xfId="0" applyFont="1" applyFill="1" applyBorder="1" applyAlignment="1">
      <alignment horizontal="right" vertical="center" wrapText="1" indent="1"/>
    </xf>
    <xf numFmtId="0" fontId="3" fillId="10" borderId="0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/>
    </xf>
    <xf numFmtId="0" fontId="1" fillId="6" borderId="0" xfId="0" applyFont="1" applyFill="1" applyAlignment="1"/>
    <xf numFmtId="0" fontId="7" fillId="6" borderId="0" xfId="0" applyFont="1" applyFill="1" applyBorder="1" applyAlignment="1">
      <alignment horizontal="left" vertical="center" indent="1"/>
    </xf>
    <xf numFmtId="0" fontId="4" fillId="6" borderId="0" xfId="0" applyFont="1" applyFill="1" applyBorder="1" applyAlignment="1">
      <alignment vertical="center"/>
    </xf>
    <xf numFmtId="0" fontId="7" fillId="0" borderId="0" xfId="0" applyFont="1" applyAlignment="1">
      <alignment horizontal="left" vertical="center" indent="1"/>
    </xf>
    <xf numFmtId="0" fontId="9" fillId="6" borderId="0" xfId="0" applyFont="1" applyFill="1" applyBorder="1" applyAlignment="1">
      <alignment horizontal="left" vertical="center" indent="1"/>
    </xf>
    <xf numFmtId="0" fontId="14" fillId="6" borderId="0" xfId="0" applyFont="1" applyFill="1" applyBorder="1" applyAlignment="1">
      <alignment vertical="center"/>
    </xf>
    <xf numFmtId="0" fontId="15" fillId="6" borderId="0" xfId="0" applyFont="1" applyFill="1" applyBorder="1" applyAlignment="1">
      <alignment horizontal="left" vertical="center" indent="1"/>
    </xf>
    <xf numFmtId="0" fontId="15" fillId="6" borderId="10" xfId="0" applyFont="1" applyFill="1" applyBorder="1" applyAlignment="1">
      <alignment horizontal="left" vertical="center" indent="1"/>
    </xf>
    <xf numFmtId="0" fontId="16" fillId="6" borderId="0" xfId="0" applyFont="1" applyFill="1" applyBorder="1" applyAlignment="1">
      <alignment vertical="center"/>
    </xf>
    <xf numFmtId="0" fontId="17" fillId="6" borderId="0" xfId="0" applyFont="1" applyFill="1" applyBorder="1" applyAlignment="1">
      <alignment vertical="center"/>
    </xf>
    <xf numFmtId="0" fontId="7" fillId="23" borderId="0" xfId="0" applyFont="1" applyFill="1" applyAlignment="1">
      <alignment horizontal="left" vertical="center" indent="1"/>
    </xf>
    <xf numFmtId="0" fontId="19" fillId="11" borderId="0" xfId="0" applyFont="1" applyFill="1" applyBorder="1" applyAlignment="1">
      <alignment horizontal="center" vertical="center" wrapText="1" readingOrder="1"/>
    </xf>
    <xf numFmtId="0" fontId="13" fillId="2" borderId="0" xfId="0" applyFont="1" applyFill="1" applyAlignment="1">
      <alignment horizontal="center"/>
    </xf>
    <xf numFmtId="0" fontId="13" fillId="2" borderId="0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right" vertical="center" wrapText="1" indent="1" readingOrder="1"/>
    </xf>
    <xf numFmtId="164" fontId="22" fillId="2" borderId="1" xfId="0" applyNumberFormat="1" applyFont="1" applyFill="1" applyBorder="1" applyAlignment="1">
      <alignment horizontal="right" vertical="center" wrapText="1" indent="1" readingOrder="1"/>
    </xf>
    <xf numFmtId="1" fontId="22" fillId="2" borderId="1" xfId="0" applyNumberFormat="1" applyFont="1" applyFill="1" applyBorder="1" applyAlignment="1">
      <alignment horizontal="right" vertical="center" wrapText="1" indent="1" readingOrder="1"/>
    </xf>
    <xf numFmtId="49" fontId="22" fillId="2" borderId="1" xfId="0" applyNumberFormat="1" applyFont="1" applyFill="1" applyBorder="1" applyAlignment="1">
      <alignment horizontal="left" vertical="center" wrapText="1" indent="1" readingOrder="1"/>
    </xf>
    <xf numFmtId="165" fontId="22" fillId="2" borderId="1" xfId="0" applyNumberFormat="1" applyFont="1" applyFill="1" applyBorder="1" applyAlignment="1">
      <alignment horizontal="right" vertical="center" wrapText="1" indent="1" readingOrder="1"/>
    </xf>
    <xf numFmtId="2" fontId="22" fillId="2" borderId="2" xfId="0" applyNumberFormat="1" applyFont="1" applyFill="1" applyBorder="1" applyAlignment="1">
      <alignment horizontal="right" vertical="center" wrapText="1" indent="1" readingOrder="1"/>
    </xf>
    <xf numFmtId="164" fontId="22" fillId="2" borderId="2" xfId="0" applyNumberFormat="1" applyFont="1" applyFill="1" applyBorder="1" applyAlignment="1">
      <alignment horizontal="right" vertical="center" wrapText="1" indent="1" readingOrder="1"/>
    </xf>
    <xf numFmtId="1" fontId="22" fillId="2" borderId="2" xfId="0" applyNumberFormat="1" applyFont="1" applyFill="1" applyBorder="1" applyAlignment="1">
      <alignment horizontal="right" vertical="center" wrapText="1" indent="1" readingOrder="1"/>
    </xf>
    <xf numFmtId="49" fontId="22" fillId="2" borderId="2" xfId="0" applyNumberFormat="1" applyFont="1" applyFill="1" applyBorder="1" applyAlignment="1">
      <alignment horizontal="left" vertical="center" wrapText="1" indent="1" readingOrder="1"/>
    </xf>
    <xf numFmtId="165" fontId="22" fillId="2" borderId="2" xfId="0" applyNumberFormat="1" applyFont="1" applyFill="1" applyBorder="1" applyAlignment="1">
      <alignment horizontal="right" vertical="center" wrapText="1" indent="1" readingOrder="1"/>
    </xf>
    <xf numFmtId="1" fontId="22" fillId="2" borderId="0" xfId="0" applyNumberFormat="1" applyFont="1" applyFill="1" applyBorder="1" applyAlignment="1">
      <alignment horizontal="right" vertical="center" wrapText="1" indent="1" readingOrder="1"/>
    </xf>
    <xf numFmtId="49" fontId="22" fillId="2" borderId="0" xfId="0" applyNumberFormat="1" applyFont="1" applyFill="1" applyBorder="1" applyAlignment="1">
      <alignment horizontal="left" vertical="center" wrapText="1" indent="1" readingOrder="1"/>
    </xf>
    <xf numFmtId="165" fontId="22" fillId="2" borderId="0" xfId="0" applyNumberFormat="1" applyFont="1" applyFill="1" applyBorder="1" applyAlignment="1">
      <alignment horizontal="right" vertical="center" wrapText="1" indent="1" readingOrder="1"/>
    </xf>
    <xf numFmtId="1" fontId="13" fillId="15" borderId="0" xfId="0" applyNumberFormat="1" applyFont="1" applyFill="1" applyBorder="1" applyAlignment="1">
      <alignment horizontal="right" vertical="center"/>
    </xf>
    <xf numFmtId="0" fontId="13" fillId="2" borderId="0" xfId="0" applyFont="1" applyFill="1" applyBorder="1" applyAlignment="1">
      <alignment vertical="center"/>
    </xf>
    <xf numFmtId="0" fontId="19" fillId="10" borderId="0" xfId="0" applyFont="1" applyFill="1" applyBorder="1" applyAlignment="1">
      <alignment horizontal="center" vertical="center"/>
    </xf>
    <xf numFmtId="0" fontId="13" fillId="6" borderId="0" xfId="0" applyFont="1" applyFill="1" applyAlignment="1"/>
    <xf numFmtId="164" fontId="13" fillId="2" borderId="0" xfId="0" applyNumberFormat="1" applyFont="1" applyFill="1" applyBorder="1" applyAlignment="1">
      <alignment horizontal="right" vertical="center" indent="1"/>
    </xf>
    <xf numFmtId="2" fontId="13" fillId="2" borderId="0" xfId="0" applyNumberFormat="1" applyFont="1" applyFill="1" applyBorder="1" applyAlignment="1">
      <alignment horizontal="right" vertical="center" indent="1"/>
    </xf>
    <xf numFmtId="0" fontId="13" fillId="2" borderId="0" xfId="0" applyFont="1" applyFill="1" applyBorder="1" applyAlignment="1">
      <alignment horizontal="center" vertical="center"/>
    </xf>
    <xf numFmtId="164" fontId="13" fillId="13" borderId="0" xfId="0" applyNumberFormat="1" applyFont="1" applyFill="1" applyBorder="1" applyAlignment="1">
      <alignment horizontal="right" vertical="center" indent="1"/>
    </xf>
    <xf numFmtId="1" fontId="13" fillId="13" borderId="0" xfId="0" applyNumberFormat="1" applyFont="1" applyFill="1" applyBorder="1" applyAlignment="1">
      <alignment horizontal="right" vertical="center" indent="1"/>
    </xf>
    <xf numFmtId="1" fontId="13" fillId="2" borderId="0" xfId="0" applyNumberFormat="1" applyFont="1" applyFill="1" applyBorder="1" applyAlignment="1">
      <alignment horizontal="right" vertical="center" indent="1"/>
    </xf>
    <xf numFmtId="165" fontId="13" fillId="2" borderId="0" xfId="0" applyNumberFormat="1" applyFont="1" applyFill="1" applyBorder="1" applyAlignment="1">
      <alignment horizontal="right" vertical="center" indent="1"/>
    </xf>
    <xf numFmtId="165" fontId="13" fillId="15" borderId="0" xfId="0" applyNumberFormat="1" applyFont="1" applyFill="1" applyBorder="1" applyAlignment="1">
      <alignment horizontal="right" vertical="center"/>
    </xf>
    <xf numFmtId="0" fontId="13" fillId="6" borderId="0" xfId="0" applyFont="1" applyFill="1" applyBorder="1" applyAlignment="1"/>
    <xf numFmtId="0" fontId="13" fillId="6" borderId="0" xfId="0" applyFont="1" applyFill="1" applyBorder="1" applyAlignment="1">
      <alignment horizontal="left" vertical="center"/>
    </xf>
    <xf numFmtId="1" fontId="13" fillId="2" borderId="0" xfId="0" applyNumberFormat="1" applyFont="1" applyFill="1" applyBorder="1" applyAlignment="1">
      <alignment vertical="center"/>
    </xf>
    <xf numFmtId="1" fontId="13" fillId="15" borderId="0" xfId="0" applyNumberFormat="1" applyFont="1" applyFill="1" applyBorder="1" applyAlignment="1">
      <alignment vertical="center"/>
    </xf>
    <xf numFmtId="165" fontId="13" fillId="15" borderId="0" xfId="0" applyNumberFormat="1" applyFont="1" applyFill="1" applyBorder="1" applyAlignment="1">
      <alignment vertical="center"/>
    </xf>
    <xf numFmtId="164" fontId="13" fillId="5" borderId="0" xfId="0" applyNumberFormat="1" applyFont="1" applyFill="1" applyBorder="1" applyAlignment="1">
      <alignment vertical="center"/>
    </xf>
    <xf numFmtId="0" fontId="13" fillId="2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indent="1"/>
    </xf>
    <xf numFmtId="0" fontId="13" fillId="2" borderId="0" xfId="0" applyFont="1" applyFill="1" applyBorder="1" applyAlignment="1">
      <alignment horizontal="left" vertical="center" indent="1"/>
    </xf>
    <xf numFmtId="0" fontId="14" fillId="21" borderId="0" xfId="0" applyFont="1" applyFill="1" applyBorder="1" applyAlignment="1">
      <alignment horizontal="left" vertical="center" indent="1"/>
    </xf>
    <xf numFmtId="0" fontId="14" fillId="15" borderId="0" xfId="0" applyFont="1" applyFill="1" applyBorder="1" applyAlignment="1">
      <alignment horizontal="left" vertical="center" indent="1"/>
    </xf>
    <xf numFmtId="0" fontId="23" fillId="17" borderId="0" xfId="1" applyFont="1" applyBorder="1" applyAlignment="1">
      <alignment horizontal="left" vertical="center" indent="1"/>
    </xf>
    <xf numFmtId="0" fontId="24" fillId="19" borderId="0" xfId="3" applyFont="1" applyBorder="1" applyAlignment="1">
      <alignment horizontal="left" vertical="center" indent="1"/>
    </xf>
    <xf numFmtId="0" fontId="25" fillId="22" borderId="0" xfId="2" applyFont="1" applyFill="1" applyBorder="1" applyAlignment="1">
      <alignment horizontal="left" vertical="center" indent="1"/>
    </xf>
    <xf numFmtId="0" fontId="14" fillId="2" borderId="0" xfId="0" applyFont="1" applyFill="1" applyBorder="1" applyAlignment="1">
      <alignment horizontal="left" vertical="center" indent="1"/>
    </xf>
    <xf numFmtId="0" fontId="13" fillId="10" borderId="0" xfId="0" applyFont="1" applyFill="1" applyBorder="1" applyAlignment="1">
      <alignment horizontal="left" vertical="center" wrapText="1" indent="1"/>
    </xf>
    <xf numFmtId="0" fontId="13" fillId="2" borderId="0" xfId="0" applyFont="1" applyFill="1" applyBorder="1" applyAlignment="1">
      <alignment horizontal="left" vertical="center" wrapText="1" indent="1"/>
    </xf>
    <xf numFmtId="0" fontId="13" fillId="10" borderId="0" xfId="0" applyFont="1" applyFill="1" applyBorder="1" applyAlignment="1">
      <alignment horizontal="left" vertical="center" indent="1"/>
    </xf>
    <xf numFmtId="164" fontId="13" fillId="3" borderId="0" xfId="0" applyNumberFormat="1" applyFont="1" applyFill="1" applyBorder="1" applyAlignment="1">
      <alignment horizontal="right" vertical="center" indent="1"/>
    </xf>
    <xf numFmtId="1" fontId="13" fillId="3" borderId="0" xfId="0" applyNumberFormat="1" applyFont="1" applyFill="1" applyBorder="1" applyAlignment="1">
      <alignment horizontal="right" vertical="center" indent="1"/>
    </xf>
    <xf numFmtId="1" fontId="13" fillId="15" borderId="0" xfId="0" applyNumberFormat="1" applyFont="1" applyFill="1" applyBorder="1" applyAlignment="1">
      <alignment horizontal="right" vertical="center" indent="1"/>
    </xf>
    <xf numFmtId="0" fontId="13" fillId="2" borderId="0" xfId="0" applyFont="1" applyFill="1" applyBorder="1" applyAlignment="1">
      <alignment horizontal="left" vertical="center" wrapText="1"/>
    </xf>
    <xf numFmtId="0" fontId="19" fillId="12" borderId="0" xfId="0" applyFont="1" applyFill="1" applyBorder="1" applyAlignment="1">
      <alignment horizontal="left" vertical="center"/>
    </xf>
    <xf numFmtId="1" fontId="13" fillId="2" borderId="0" xfId="0" applyNumberFormat="1" applyFont="1" applyFill="1" applyBorder="1" applyAlignment="1">
      <alignment horizontal="right" vertical="center"/>
    </xf>
    <xf numFmtId="165" fontId="13" fillId="2" borderId="0" xfId="0" applyNumberFormat="1" applyFont="1" applyFill="1" applyBorder="1" applyAlignment="1">
      <alignment horizontal="right" vertical="center"/>
    </xf>
    <xf numFmtId="0" fontId="14" fillId="6" borderId="0" xfId="0" applyFont="1" applyFill="1" applyBorder="1" applyAlignment="1">
      <alignment horizontal="left" vertical="center"/>
    </xf>
    <xf numFmtId="164" fontId="4" fillId="16" borderId="0" xfId="0" applyNumberFormat="1" applyFont="1" applyFill="1" applyBorder="1" applyAlignment="1">
      <alignment horizontal="right" vertical="center"/>
    </xf>
    <xf numFmtId="0" fontId="13" fillId="2" borderId="0" xfId="0" applyFont="1" applyFill="1" applyBorder="1" applyAlignment="1">
      <alignment horizontal="right" vertical="center" indent="1"/>
    </xf>
    <xf numFmtId="0" fontId="13" fillId="2" borderId="0" xfId="0" quotePrefix="1" applyFont="1" applyFill="1" applyBorder="1" applyAlignment="1">
      <alignment horizontal="left" vertical="center"/>
    </xf>
    <xf numFmtId="164" fontId="13" fillId="15" borderId="0" xfId="0" applyNumberFormat="1" applyFont="1" applyFill="1" applyBorder="1" applyAlignment="1">
      <alignment horizontal="right" vertical="center" indent="1"/>
    </xf>
    <xf numFmtId="0" fontId="13" fillId="2" borderId="0" xfId="0" quotePrefix="1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indent="1"/>
    </xf>
    <xf numFmtId="0" fontId="13" fillId="10" borderId="3" xfId="0" applyFont="1" applyFill="1" applyBorder="1" applyAlignment="1">
      <alignment horizontal="center" vertical="center"/>
    </xf>
    <xf numFmtId="2" fontId="13" fillId="15" borderId="0" xfId="0" applyNumberFormat="1" applyFont="1" applyFill="1" applyBorder="1" applyAlignment="1">
      <alignment horizontal="right" vertical="center" indent="1"/>
    </xf>
    <xf numFmtId="0" fontId="13" fillId="2" borderId="0" xfId="0" applyFont="1" applyFill="1" applyBorder="1" applyAlignment="1">
      <alignment horizontal="center" vertical="center"/>
    </xf>
    <xf numFmtId="0" fontId="13" fillId="10" borderId="0" xfId="0" applyFont="1" applyFill="1" applyBorder="1" applyAlignment="1">
      <alignment horizontal="left" vertical="center"/>
    </xf>
    <xf numFmtId="0" fontId="23" fillId="25" borderId="0" xfId="1" applyFont="1" applyFill="1" applyBorder="1" applyAlignment="1">
      <alignment horizontal="left" vertical="center" indent="1"/>
    </xf>
    <xf numFmtId="0" fontId="24" fillId="25" borderId="0" xfId="3" applyFont="1" applyFill="1" applyBorder="1" applyAlignment="1">
      <alignment horizontal="left" vertical="center" indent="1"/>
    </xf>
    <xf numFmtId="0" fontId="25" fillId="6" borderId="0" xfId="2" applyFont="1" applyFill="1" applyBorder="1" applyAlignment="1">
      <alignment horizontal="left" vertical="center" indent="1"/>
    </xf>
    <xf numFmtId="0" fontId="4" fillId="6" borderId="3" xfId="0" applyFont="1" applyFill="1" applyBorder="1" applyAlignment="1">
      <alignment vertical="center"/>
    </xf>
    <xf numFmtId="0" fontId="7" fillId="6" borderId="3" xfId="0" applyFont="1" applyFill="1" applyBorder="1" applyAlignment="1">
      <alignment horizontal="left" vertical="center" indent="1"/>
    </xf>
    <xf numFmtId="0" fontId="14" fillId="6" borderId="3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center"/>
    </xf>
    <xf numFmtId="2" fontId="30" fillId="2" borderId="1" xfId="0" applyNumberFormat="1" applyFont="1" applyFill="1" applyBorder="1" applyAlignment="1">
      <alignment horizontal="right" vertical="center" wrapText="1" indent="1" readingOrder="1"/>
    </xf>
    <xf numFmtId="164" fontId="30" fillId="2" borderId="1" xfId="0" applyNumberFormat="1" applyFont="1" applyFill="1" applyBorder="1" applyAlignment="1">
      <alignment horizontal="right" vertical="center" wrapText="1" indent="1" readingOrder="1"/>
    </xf>
    <xf numFmtId="1" fontId="30" fillId="2" borderId="1" xfId="0" applyNumberFormat="1" applyFont="1" applyFill="1" applyBorder="1" applyAlignment="1">
      <alignment horizontal="right" vertical="center" wrapText="1" indent="1" readingOrder="1"/>
    </xf>
    <xf numFmtId="1" fontId="14" fillId="2" borderId="2" xfId="0" applyNumberFormat="1" applyFont="1" applyFill="1" applyBorder="1" applyAlignment="1">
      <alignment horizontal="right" vertical="center" wrapText="1" indent="1" readingOrder="1"/>
    </xf>
    <xf numFmtId="0" fontId="4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right" vertical="center"/>
    </xf>
    <xf numFmtId="0" fontId="4" fillId="6" borderId="8" xfId="0" applyFont="1" applyFill="1" applyBorder="1" applyAlignment="1">
      <alignment vertical="center"/>
    </xf>
    <xf numFmtId="1" fontId="4" fillId="6" borderId="7" xfId="0" applyNumberFormat="1" applyFont="1" applyFill="1" applyBorder="1" applyAlignment="1">
      <alignment vertical="center"/>
    </xf>
    <xf numFmtId="165" fontId="4" fillId="6" borderId="7" xfId="0" applyNumberFormat="1" applyFont="1" applyFill="1" applyBorder="1" applyAlignment="1">
      <alignment vertical="center"/>
    </xf>
    <xf numFmtId="10" fontId="26" fillId="16" borderId="7" xfId="0" applyNumberFormat="1" applyFont="1" applyFill="1" applyBorder="1" applyAlignment="1">
      <alignment horizontal="right" vertical="center"/>
    </xf>
    <xf numFmtId="0" fontId="7" fillId="6" borderId="13" xfId="0" applyFont="1" applyFill="1" applyBorder="1" applyAlignment="1">
      <alignment horizontal="left" vertical="center" indent="1"/>
    </xf>
    <xf numFmtId="0" fontId="14" fillId="6" borderId="13" xfId="0" applyFont="1" applyFill="1" applyBorder="1" applyAlignment="1">
      <alignment vertical="center"/>
    </xf>
    <xf numFmtId="0" fontId="4" fillId="6" borderId="6" xfId="0" applyFont="1" applyFill="1" applyBorder="1" applyAlignment="1">
      <alignment vertical="center"/>
    </xf>
    <xf numFmtId="0" fontId="4" fillId="6" borderId="13" xfId="0" applyFont="1" applyFill="1" applyBorder="1" applyAlignment="1">
      <alignment vertical="center"/>
    </xf>
    <xf numFmtId="2" fontId="4" fillId="8" borderId="13" xfId="0" applyNumberFormat="1" applyFont="1" applyFill="1" applyBorder="1" applyAlignment="1">
      <alignment horizontal="right" vertical="center"/>
    </xf>
    <xf numFmtId="1" fontId="4" fillId="9" borderId="0" xfId="0" applyNumberFormat="1" applyFont="1" applyFill="1" applyBorder="1" applyAlignment="1">
      <alignment horizontal="right" vertical="center"/>
    </xf>
    <xf numFmtId="10" fontId="29" fillId="16" borderId="7" xfId="0" applyNumberFormat="1" applyFont="1" applyFill="1" applyBorder="1" applyAlignment="1">
      <alignment horizontal="right" vertical="center"/>
    </xf>
    <xf numFmtId="0" fontId="4" fillId="16" borderId="0" xfId="0" applyNumberFormat="1" applyFont="1" applyFill="1" applyBorder="1" applyAlignment="1">
      <alignment horizontal="right" vertical="center"/>
    </xf>
    <xf numFmtId="0" fontId="27" fillId="16" borderId="0" xfId="0" applyFont="1" applyFill="1" applyBorder="1" applyAlignment="1">
      <alignment horizontal="right" vertical="center"/>
    </xf>
    <xf numFmtId="0" fontId="7" fillId="6" borderId="0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center" vertical="center" wrapText="1"/>
    </xf>
    <xf numFmtId="0" fontId="14" fillId="9" borderId="7" xfId="0" applyFont="1" applyFill="1" applyBorder="1" applyAlignment="1">
      <alignment horizontal="right" vertical="center" indent="1"/>
    </xf>
    <xf numFmtId="0" fontId="14" fillId="9" borderId="7" xfId="1" applyFont="1" applyFill="1" applyBorder="1" applyAlignment="1">
      <alignment horizontal="right" vertical="center" indent="1"/>
    </xf>
    <xf numFmtId="0" fontId="31" fillId="6" borderId="0" xfId="0" applyFont="1" applyFill="1" applyBorder="1" applyAlignment="1">
      <alignment vertical="center"/>
    </xf>
    <xf numFmtId="0" fontId="14" fillId="9" borderId="8" xfId="0" applyFont="1" applyFill="1" applyBorder="1" applyAlignment="1">
      <alignment horizontal="right" vertical="center" indent="1"/>
    </xf>
    <xf numFmtId="0" fontId="14" fillId="9" borderId="8" xfId="1" applyFont="1" applyFill="1" applyBorder="1" applyAlignment="1">
      <alignment horizontal="right" vertical="center" indent="1"/>
    </xf>
    <xf numFmtId="0" fontId="14" fillId="9" borderId="6" xfId="3" applyFont="1" applyFill="1" applyBorder="1" applyAlignment="1">
      <alignment horizontal="right" vertical="center" indent="1"/>
    </xf>
    <xf numFmtId="0" fontId="14" fillId="9" borderId="7" xfId="3" applyFont="1" applyFill="1" applyBorder="1" applyAlignment="1">
      <alignment horizontal="right" vertical="center" indent="1"/>
    </xf>
    <xf numFmtId="0" fontId="14" fillId="6" borderId="7" xfId="0" applyFont="1" applyFill="1" applyBorder="1" applyAlignment="1">
      <alignment vertical="center"/>
    </xf>
    <xf numFmtId="0" fontId="14" fillId="9" borderId="8" xfId="3" applyFont="1" applyFill="1" applyBorder="1" applyAlignment="1">
      <alignment horizontal="right" vertical="center" indent="1"/>
    </xf>
    <xf numFmtId="0" fontId="14" fillId="9" borderId="7" xfId="2" applyFont="1" applyFill="1" applyBorder="1" applyAlignment="1">
      <alignment horizontal="right" vertical="center" indent="1"/>
    </xf>
    <xf numFmtId="0" fontId="14" fillId="7" borderId="0" xfId="0" applyFont="1" applyFill="1" applyBorder="1" applyAlignment="1">
      <alignment horizontal="left" vertical="center" wrapText="1" indent="1"/>
    </xf>
    <xf numFmtId="0" fontId="31" fillId="6" borderId="7" xfId="0" applyFont="1" applyFill="1" applyBorder="1" applyAlignment="1">
      <alignment vertical="center"/>
    </xf>
    <xf numFmtId="0" fontId="31" fillId="6" borderId="15" xfId="0" applyFont="1" applyFill="1" applyBorder="1" applyAlignment="1">
      <alignment vertical="center"/>
    </xf>
    <xf numFmtId="165" fontId="31" fillId="9" borderId="17" xfId="0" applyNumberFormat="1" applyFont="1" applyFill="1" applyBorder="1" applyAlignment="1">
      <alignment vertical="center" wrapText="1"/>
    </xf>
    <xf numFmtId="165" fontId="31" fillId="9" borderId="16" xfId="0" applyNumberFormat="1" applyFont="1" applyFill="1" applyBorder="1" applyAlignment="1">
      <alignment vertical="center" wrapText="1"/>
    </xf>
    <xf numFmtId="165" fontId="31" fillId="16" borderId="16" xfId="0" applyNumberFormat="1" applyFont="1" applyFill="1" applyBorder="1" applyAlignment="1">
      <alignment vertical="center" wrapText="1"/>
    </xf>
    <xf numFmtId="165" fontId="31" fillId="9" borderId="5" xfId="0" applyNumberFormat="1" applyFont="1" applyFill="1" applyBorder="1" applyAlignment="1">
      <alignment vertical="center" wrapText="1"/>
    </xf>
    <xf numFmtId="165" fontId="31" fillId="16" borderId="5" xfId="0" applyNumberFormat="1" applyFont="1" applyFill="1" applyBorder="1" applyAlignment="1">
      <alignment vertical="center" wrapText="1"/>
    </xf>
    <xf numFmtId="1" fontId="4" fillId="8" borderId="12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right" vertical="center" wrapText="1" indent="1"/>
    </xf>
    <xf numFmtId="0" fontId="19" fillId="11" borderId="3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1" fontId="14" fillId="16" borderId="0" xfId="0" applyNumberFormat="1" applyFont="1" applyFill="1" applyBorder="1" applyAlignment="1">
      <alignment vertical="center"/>
    </xf>
    <xf numFmtId="0" fontId="4" fillId="7" borderId="6" xfId="0" applyFont="1" applyFill="1" applyBorder="1" applyAlignment="1">
      <alignment horizontal="right" vertical="center" indent="1"/>
    </xf>
    <xf numFmtId="0" fontId="4" fillId="7" borderId="7" xfId="0" applyFont="1" applyFill="1" applyBorder="1" applyAlignment="1">
      <alignment horizontal="right" vertical="center" indent="1"/>
    </xf>
    <xf numFmtId="0" fontId="33" fillId="7" borderId="9" xfId="0" applyFont="1" applyFill="1" applyBorder="1" applyAlignment="1">
      <alignment horizontal="center" vertical="center" wrapText="1" readingOrder="1"/>
    </xf>
    <xf numFmtId="0" fontId="33" fillId="7" borderId="0" xfId="0" applyFont="1" applyFill="1" applyBorder="1" applyAlignment="1">
      <alignment horizontal="center" vertical="center" wrapText="1" readingOrder="1"/>
    </xf>
    <xf numFmtId="49" fontId="4" fillId="7" borderId="0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/>
    <xf numFmtId="0" fontId="13" fillId="24" borderId="18" xfId="0" applyFont="1" applyFill="1" applyBorder="1" applyAlignment="1">
      <alignment horizontal="center"/>
    </xf>
    <xf numFmtId="0" fontId="13" fillId="27" borderId="6" xfId="0" applyFont="1" applyFill="1" applyBorder="1" applyAlignment="1">
      <alignment horizontal="left" vertical="center" indent="1"/>
    </xf>
    <xf numFmtId="0" fontId="13" fillId="27" borderId="7" xfId="0" applyFont="1" applyFill="1" applyBorder="1" applyAlignment="1">
      <alignment horizontal="left" vertical="center" indent="1"/>
    </xf>
    <xf numFmtId="0" fontId="13" fillId="15" borderId="6" xfId="0" applyFont="1" applyFill="1" applyBorder="1" applyAlignment="1">
      <alignment horizontal="center" vertical="center"/>
    </xf>
    <xf numFmtId="0" fontId="13" fillId="15" borderId="7" xfId="0" applyFont="1" applyFill="1" applyBorder="1" applyAlignment="1">
      <alignment horizontal="center" vertical="center"/>
    </xf>
    <xf numFmtId="1" fontId="13" fillId="3" borderId="6" xfId="0" applyNumberFormat="1" applyFont="1" applyFill="1" applyBorder="1" applyAlignment="1">
      <alignment horizontal="right" vertical="center" indent="1"/>
    </xf>
    <xf numFmtId="1" fontId="13" fillId="3" borderId="7" xfId="0" applyNumberFormat="1" applyFont="1" applyFill="1" applyBorder="1" applyAlignment="1">
      <alignment horizontal="right" vertical="center" indent="1"/>
    </xf>
    <xf numFmtId="165" fontId="13" fillId="15" borderId="6" xfId="0" applyNumberFormat="1" applyFont="1" applyFill="1" applyBorder="1" applyAlignment="1">
      <alignment horizontal="right" vertical="center" indent="1"/>
    </xf>
    <xf numFmtId="165" fontId="13" fillId="15" borderId="7" xfId="0" applyNumberFormat="1" applyFont="1" applyFill="1" applyBorder="1" applyAlignment="1">
      <alignment horizontal="right" vertical="center" indent="1"/>
    </xf>
    <xf numFmtId="1" fontId="13" fillId="21" borderId="6" xfId="0" applyNumberFormat="1" applyFont="1" applyFill="1" applyBorder="1" applyAlignment="1">
      <alignment vertical="center"/>
    </xf>
    <xf numFmtId="1" fontId="13" fillId="21" borderId="7" xfId="0" applyNumberFormat="1" applyFont="1" applyFill="1" applyBorder="1" applyAlignment="1">
      <alignment vertical="center"/>
    </xf>
    <xf numFmtId="1" fontId="13" fillId="16" borderId="7" xfId="0" applyNumberFormat="1" applyFont="1" applyFill="1" applyBorder="1" applyAlignment="1">
      <alignment vertical="center"/>
    </xf>
    <xf numFmtId="3" fontId="13" fillId="3" borderId="6" xfId="0" applyNumberFormat="1" applyFont="1" applyFill="1" applyBorder="1" applyAlignment="1">
      <alignment horizontal="right" vertical="center" indent="1"/>
    </xf>
    <xf numFmtId="3" fontId="13" fillId="3" borderId="7" xfId="0" applyNumberFormat="1" applyFont="1" applyFill="1" applyBorder="1" applyAlignment="1">
      <alignment horizontal="right" vertical="center" indent="1"/>
    </xf>
    <xf numFmtId="0" fontId="19" fillId="11" borderId="8" xfId="0" applyFont="1" applyFill="1" applyBorder="1" applyAlignment="1">
      <alignment horizontal="center" vertical="center" wrapText="1"/>
    </xf>
    <xf numFmtId="0" fontId="19" fillId="10" borderId="8" xfId="0" applyFont="1" applyFill="1" applyBorder="1" applyAlignment="1">
      <alignment horizontal="center" vertical="center" wrapText="1"/>
    </xf>
    <xf numFmtId="164" fontId="13" fillId="21" borderId="0" xfId="0" applyNumberFormat="1" applyFont="1" applyFill="1" applyBorder="1" applyAlignment="1">
      <alignment horizontal="right" vertical="center"/>
    </xf>
    <xf numFmtId="164" fontId="14" fillId="21" borderId="0" xfId="0" applyNumberFormat="1" applyFont="1" applyFill="1" applyBorder="1" applyAlignment="1">
      <alignment horizontal="right" vertical="center"/>
    </xf>
    <xf numFmtId="164" fontId="14" fillId="21" borderId="11" xfId="0" applyNumberFormat="1" applyFont="1" applyFill="1" applyBorder="1" applyAlignment="1">
      <alignment horizontal="right" vertical="center"/>
    </xf>
    <xf numFmtId="2" fontId="13" fillId="21" borderId="0" xfId="0" applyNumberFormat="1" applyFont="1" applyFill="1" applyBorder="1" applyAlignment="1">
      <alignment horizontal="right" vertical="center"/>
    </xf>
    <xf numFmtId="2" fontId="14" fillId="21" borderId="0" xfId="0" applyNumberFormat="1" applyFont="1" applyFill="1" applyBorder="1" applyAlignment="1">
      <alignment horizontal="right" vertical="center"/>
    </xf>
    <xf numFmtId="2" fontId="14" fillId="21" borderId="11" xfId="0" applyNumberFormat="1" applyFont="1" applyFill="1" applyBorder="1" applyAlignment="1">
      <alignment horizontal="right" vertical="center"/>
    </xf>
    <xf numFmtId="164" fontId="13" fillId="28" borderId="0" xfId="0" applyNumberFormat="1" applyFont="1" applyFill="1" applyBorder="1" applyAlignment="1">
      <alignment horizontal="right" vertical="center"/>
    </xf>
    <xf numFmtId="164" fontId="13" fillId="20" borderId="0" xfId="0" applyNumberFormat="1" applyFont="1" applyFill="1" applyBorder="1" applyAlignment="1">
      <alignment horizontal="right" vertical="center"/>
    </xf>
    <xf numFmtId="2" fontId="13" fillId="20" borderId="0" xfId="0" applyNumberFormat="1" applyFont="1" applyFill="1" applyBorder="1" applyAlignment="1">
      <alignment horizontal="right" vertical="center"/>
    </xf>
    <xf numFmtId="164" fontId="13" fillId="5" borderId="22" xfId="0" applyNumberFormat="1" applyFont="1" applyFill="1" applyBorder="1" applyAlignment="1">
      <alignment vertical="center"/>
    </xf>
    <xf numFmtId="2" fontId="14" fillId="21" borderId="21" xfId="0" applyNumberFormat="1" applyFont="1" applyFill="1" applyBorder="1" applyAlignment="1">
      <alignment horizontal="right" vertical="center"/>
    </xf>
    <xf numFmtId="164" fontId="14" fillId="21" borderId="21" xfId="0" applyNumberFormat="1" applyFont="1" applyFill="1" applyBorder="1" applyAlignment="1">
      <alignment horizontal="right" vertical="center"/>
    </xf>
    <xf numFmtId="0" fontId="19" fillId="10" borderId="3" xfId="0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vertical="center"/>
    </xf>
    <xf numFmtId="0" fontId="19" fillId="11" borderId="7" xfId="0" applyFont="1" applyFill="1" applyBorder="1" applyAlignment="1">
      <alignment horizontal="left" vertical="center"/>
    </xf>
    <xf numFmtId="1" fontId="13" fillId="15" borderId="10" xfId="0" applyNumberFormat="1" applyFont="1" applyFill="1" applyBorder="1" applyAlignment="1">
      <alignment horizontal="right" vertical="center"/>
    </xf>
    <xf numFmtId="164" fontId="4" fillId="6" borderId="10" xfId="0" applyNumberFormat="1" applyFont="1" applyFill="1" applyBorder="1" applyAlignment="1">
      <alignment horizontal="right" vertical="center" indent="1"/>
    </xf>
    <xf numFmtId="164" fontId="4" fillId="6" borderId="0" xfId="0" applyNumberFormat="1" applyFont="1" applyFill="1" applyBorder="1" applyAlignment="1">
      <alignment horizontal="right" vertical="center" indent="1"/>
    </xf>
    <xf numFmtId="0" fontId="4" fillId="6" borderId="0" xfId="0" applyFont="1" applyFill="1" applyBorder="1" applyAlignment="1">
      <alignment horizontal="right" vertical="center" indent="1"/>
    </xf>
    <xf numFmtId="1" fontId="4" fillId="8" borderId="10" xfId="0" applyNumberFormat="1" applyFont="1" applyFill="1" applyBorder="1" applyAlignment="1">
      <alignment horizontal="right" vertical="center" indent="1"/>
    </xf>
    <xf numFmtId="1" fontId="4" fillId="6" borderId="0" xfId="0" applyNumberFormat="1" applyFont="1" applyFill="1" applyBorder="1" applyAlignment="1">
      <alignment horizontal="right" vertical="center" indent="1"/>
    </xf>
    <xf numFmtId="164" fontId="16" fillId="6" borderId="10" xfId="0" applyNumberFormat="1" applyFont="1" applyFill="1" applyBorder="1" applyAlignment="1">
      <alignment horizontal="right" vertical="center" indent="1"/>
    </xf>
    <xf numFmtId="164" fontId="16" fillId="6" borderId="0" xfId="0" applyNumberFormat="1" applyFont="1" applyFill="1" applyBorder="1" applyAlignment="1">
      <alignment horizontal="right" vertical="center" indent="1"/>
    </xf>
    <xf numFmtId="0" fontId="16" fillId="6" borderId="0" xfId="0" applyFont="1" applyFill="1" applyBorder="1" applyAlignment="1">
      <alignment horizontal="right" vertical="center" indent="1"/>
    </xf>
    <xf numFmtId="165" fontId="4" fillId="8" borderId="10" xfId="0" applyNumberFormat="1" applyFont="1" applyFill="1" applyBorder="1" applyAlignment="1">
      <alignment horizontal="right" vertical="center" indent="1"/>
    </xf>
    <xf numFmtId="165" fontId="4" fillId="6" borderId="0" xfId="0" applyNumberFormat="1" applyFont="1" applyFill="1" applyBorder="1" applyAlignment="1">
      <alignment horizontal="right" vertical="center" indent="1"/>
    </xf>
    <xf numFmtId="2" fontId="14" fillId="8" borderId="10" xfId="0" applyNumberFormat="1" applyFont="1" applyFill="1" applyBorder="1" applyAlignment="1">
      <alignment horizontal="right" vertical="center" indent="1"/>
    </xf>
    <xf numFmtId="2" fontId="27" fillId="16" borderId="0" xfId="0" applyNumberFormat="1" applyFont="1" applyFill="1" applyAlignment="1">
      <alignment horizontal="right" vertical="center" indent="1"/>
    </xf>
    <xf numFmtId="2" fontId="4" fillId="8" borderId="10" xfId="0" applyNumberFormat="1" applyFont="1" applyFill="1" applyBorder="1" applyAlignment="1">
      <alignment horizontal="right" vertical="center" indent="1"/>
    </xf>
    <xf numFmtId="2" fontId="27" fillId="6" borderId="0" xfId="0" applyNumberFormat="1" applyFont="1" applyFill="1" applyAlignment="1">
      <alignment horizontal="right" vertical="center" indent="1"/>
    </xf>
    <xf numFmtId="2" fontId="14" fillId="16" borderId="10" xfId="0" applyNumberFormat="1" applyFont="1" applyFill="1" applyBorder="1" applyAlignment="1">
      <alignment horizontal="right" vertical="center" indent="1"/>
    </xf>
    <xf numFmtId="165" fontId="14" fillId="16" borderId="10" xfId="0" applyNumberFormat="1" applyFont="1" applyFill="1" applyBorder="1" applyAlignment="1">
      <alignment horizontal="right" vertical="center" indent="1"/>
    </xf>
    <xf numFmtId="0" fontId="4" fillId="16" borderId="0" xfId="0" applyFont="1" applyFill="1" applyBorder="1" applyAlignment="1">
      <alignment horizontal="right" vertical="center" indent="1"/>
    </xf>
    <xf numFmtId="165" fontId="29" fillId="16" borderId="10" xfId="0" applyNumberFormat="1" applyFont="1" applyFill="1" applyBorder="1" applyAlignment="1">
      <alignment horizontal="right" vertical="center" indent="1"/>
    </xf>
    <xf numFmtId="0" fontId="27" fillId="16" borderId="0" xfId="0" applyFont="1" applyFill="1" applyAlignment="1">
      <alignment horizontal="right" vertical="center" indent="1"/>
    </xf>
    <xf numFmtId="0" fontId="4" fillId="6" borderId="3" xfId="0" applyFont="1" applyFill="1" applyBorder="1" applyAlignment="1">
      <alignment horizontal="right" vertical="center" indent="1"/>
    </xf>
    <xf numFmtId="2" fontId="4" fillId="8" borderId="13" xfId="0" applyNumberFormat="1" applyFont="1" applyFill="1" applyBorder="1" applyAlignment="1">
      <alignment horizontal="right" vertical="center" indent="1"/>
    </xf>
    <xf numFmtId="1" fontId="14" fillId="9" borderId="10" xfId="0" applyNumberFormat="1" applyFont="1" applyFill="1" applyBorder="1" applyAlignment="1">
      <alignment horizontal="right" vertical="center" indent="1"/>
    </xf>
    <xf numFmtId="165" fontId="14" fillId="9" borderId="10" xfId="0" applyNumberFormat="1" applyFont="1" applyFill="1" applyBorder="1" applyAlignment="1">
      <alignment horizontal="right" vertical="center" indent="1"/>
    </xf>
    <xf numFmtId="1" fontId="4" fillId="9" borderId="0" xfId="0" applyNumberFormat="1" applyFont="1" applyFill="1" applyBorder="1" applyAlignment="1">
      <alignment horizontal="right" vertical="center" indent="1"/>
    </xf>
    <xf numFmtId="165" fontId="4" fillId="16" borderId="0" xfId="0" applyNumberFormat="1" applyFont="1" applyFill="1" applyBorder="1" applyAlignment="1">
      <alignment horizontal="right" vertical="center" indent="1"/>
    </xf>
    <xf numFmtId="1" fontId="14" fillId="16" borderId="10" xfId="0" applyNumberFormat="1" applyFont="1" applyFill="1" applyBorder="1" applyAlignment="1">
      <alignment horizontal="right" vertical="center" indent="1"/>
    </xf>
    <xf numFmtId="1" fontId="4" fillId="16" borderId="0" xfId="0" applyNumberFormat="1" applyFont="1" applyFill="1" applyBorder="1" applyAlignment="1">
      <alignment horizontal="right" vertical="center" indent="1"/>
    </xf>
    <xf numFmtId="1" fontId="29" fillId="6" borderId="0" xfId="0" applyNumberFormat="1" applyFont="1" applyFill="1" applyBorder="1" applyAlignment="1">
      <alignment horizontal="right" vertical="center" indent="1"/>
    </xf>
    <xf numFmtId="165" fontId="4" fillId="6" borderId="3" xfId="0" applyNumberFormat="1" applyFont="1" applyFill="1" applyBorder="1" applyAlignment="1">
      <alignment horizontal="right" vertical="center" indent="1"/>
    </xf>
    <xf numFmtId="167" fontId="4" fillId="16" borderId="0" xfId="0" applyNumberFormat="1" applyFont="1" applyFill="1" applyBorder="1" applyAlignment="1">
      <alignment horizontal="right" vertical="center" indent="1"/>
    </xf>
    <xf numFmtId="2" fontId="14" fillId="9" borderId="10" xfId="0" applyNumberFormat="1" applyFont="1" applyFill="1" applyBorder="1" applyAlignment="1">
      <alignment horizontal="right" vertical="center" indent="1"/>
    </xf>
    <xf numFmtId="0" fontId="4" fillId="16" borderId="0" xfId="0" applyNumberFormat="1" applyFont="1" applyFill="1" applyBorder="1" applyAlignment="1">
      <alignment horizontal="right" vertical="center" indent="1"/>
    </xf>
    <xf numFmtId="164" fontId="4" fillId="16" borderId="0" xfId="0" applyNumberFormat="1" applyFont="1" applyFill="1" applyBorder="1" applyAlignment="1">
      <alignment horizontal="right" vertical="center" indent="1"/>
    </xf>
    <xf numFmtId="2" fontId="4" fillId="6" borderId="0" xfId="0" applyNumberFormat="1" applyFont="1" applyFill="1" applyBorder="1" applyAlignment="1">
      <alignment horizontal="right" vertical="center" indent="1"/>
    </xf>
    <xf numFmtId="165" fontId="4" fillId="6" borderId="10" xfId="0" applyNumberFormat="1" applyFont="1" applyFill="1" applyBorder="1" applyAlignment="1">
      <alignment horizontal="right" vertical="center" indent="1"/>
    </xf>
    <xf numFmtId="1" fontId="4" fillId="16" borderId="10" xfId="0" applyNumberFormat="1" applyFont="1" applyFill="1" applyBorder="1" applyAlignment="1">
      <alignment horizontal="right" vertical="center" indent="1"/>
    </xf>
    <xf numFmtId="165" fontId="14" fillId="16" borderId="14" xfId="0" applyNumberFormat="1" applyFont="1" applyFill="1" applyBorder="1" applyAlignment="1">
      <alignment horizontal="right" vertical="center" indent="1"/>
    </xf>
    <xf numFmtId="0" fontId="4" fillId="16" borderId="13" xfId="0" applyFont="1" applyFill="1" applyBorder="1" applyAlignment="1">
      <alignment horizontal="right" vertical="center" indent="1"/>
    </xf>
    <xf numFmtId="0" fontId="4" fillId="6" borderId="13" xfId="0" applyFont="1" applyFill="1" applyBorder="1" applyAlignment="1">
      <alignment horizontal="right" vertical="center" indent="1"/>
    </xf>
    <xf numFmtId="164" fontId="4" fillId="6" borderId="13" xfId="0" applyNumberFormat="1" applyFont="1" applyFill="1" applyBorder="1" applyAlignment="1">
      <alignment horizontal="right" vertical="center" indent="1"/>
    </xf>
    <xf numFmtId="0" fontId="13" fillId="6" borderId="7" xfId="0" applyFont="1" applyFill="1" applyBorder="1" applyAlignment="1">
      <alignment vertical="center"/>
    </xf>
    <xf numFmtId="165" fontId="4" fillId="8" borderId="0" xfId="0" applyNumberFormat="1" applyFont="1" applyFill="1" applyBorder="1" applyAlignment="1">
      <alignment horizontal="right" vertical="center" indent="1"/>
    </xf>
    <xf numFmtId="165" fontId="14" fillId="16" borderId="0" xfId="0" applyNumberFormat="1" applyFont="1" applyFill="1" applyBorder="1" applyAlignment="1">
      <alignment horizontal="right" vertical="center" indent="1"/>
    </xf>
    <xf numFmtId="1" fontId="14" fillId="16" borderId="0" xfId="0" applyNumberFormat="1" applyFont="1" applyFill="1" applyBorder="1" applyAlignment="1">
      <alignment horizontal="right" vertical="center" indent="1"/>
    </xf>
    <xf numFmtId="0" fontId="13" fillId="6" borderId="8" xfId="0" applyFont="1" applyFill="1" applyBorder="1" applyAlignment="1">
      <alignment vertical="center"/>
    </xf>
    <xf numFmtId="0" fontId="14" fillId="6" borderId="0" xfId="0" quotePrefix="1" applyFont="1" applyFill="1" applyBorder="1" applyAlignment="1">
      <alignment vertical="center"/>
    </xf>
    <xf numFmtId="165" fontId="29" fillId="16" borderId="0" xfId="0" applyNumberFormat="1" applyFont="1" applyFill="1" applyBorder="1" applyAlignment="1">
      <alignment horizontal="right" vertical="center" indent="1"/>
    </xf>
    <xf numFmtId="0" fontId="27" fillId="16" borderId="0" xfId="0" applyFont="1" applyFill="1" applyBorder="1" applyAlignment="1">
      <alignment horizontal="right" vertical="center" indent="1"/>
    </xf>
    <xf numFmtId="0" fontId="34" fillId="16" borderId="0" xfId="0" applyFont="1" applyFill="1" applyBorder="1" applyAlignment="1">
      <alignment horizontal="right" vertical="center" indent="1"/>
    </xf>
    <xf numFmtId="166" fontId="14" fillId="9" borderId="0" xfId="0" applyNumberFormat="1" applyFont="1" applyFill="1" applyBorder="1" applyAlignment="1">
      <alignment horizontal="right" vertical="center" indent="1"/>
    </xf>
    <xf numFmtId="167" fontId="14" fillId="9" borderId="0" xfId="0" applyNumberFormat="1" applyFont="1" applyFill="1" applyBorder="1" applyAlignment="1">
      <alignment horizontal="right" vertical="center" indent="1"/>
    </xf>
    <xf numFmtId="166" fontId="14" fillId="9" borderId="0" xfId="0" applyNumberFormat="1" applyFont="1" applyFill="1" applyBorder="1" applyAlignment="1">
      <alignment horizontal="right" vertical="center"/>
    </xf>
    <xf numFmtId="1" fontId="14" fillId="9" borderId="0" xfId="0" applyNumberFormat="1" applyFont="1" applyFill="1" applyBorder="1" applyAlignment="1">
      <alignment horizontal="right" vertical="center" indent="1"/>
    </xf>
    <xf numFmtId="2" fontId="4" fillId="8" borderId="0" xfId="0" applyNumberFormat="1" applyFont="1" applyFill="1" applyBorder="1" applyAlignment="1">
      <alignment horizontal="right" vertical="center" indent="1"/>
    </xf>
    <xf numFmtId="1" fontId="19" fillId="26" borderId="0" xfId="0" applyNumberFormat="1" applyFont="1" applyFill="1" applyBorder="1" applyAlignment="1">
      <alignment horizontal="right" vertical="center" indent="1"/>
    </xf>
    <xf numFmtId="1" fontId="14" fillId="9" borderId="0" xfId="0" applyNumberFormat="1" applyFont="1" applyFill="1" applyBorder="1" applyAlignment="1">
      <alignment horizontal="right" vertical="center"/>
    </xf>
    <xf numFmtId="165" fontId="14" fillId="9" borderId="0" xfId="0" applyNumberFormat="1" applyFont="1" applyFill="1" applyBorder="1" applyAlignment="1">
      <alignment horizontal="right" vertical="center" indent="1"/>
    </xf>
    <xf numFmtId="165" fontId="14" fillId="9" borderId="0" xfId="0" applyNumberFormat="1" applyFont="1" applyFill="1" applyBorder="1" applyAlignment="1">
      <alignment horizontal="right" vertical="center"/>
    </xf>
    <xf numFmtId="164" fontId="14" fillId="9" borderId="0" xfId="0" applyNumberFormat="1" applyFont="1" applyFill="1" applyBorder="1" applyAlignment="1">
      <alignment horizontal="right" vertical="center" indent="1"/>
    </xf>
    <xf numFmtId="164" fontId="14" fillId="9" borderId="0" xfId="0" applyNumberFormat="1" applyFont="1" applyFill="1" applyBorder="1" applyAlignment="1">
      <alignment horizontal="right" vertical="center"/>
    </xf>
    <xf numFmtId="1" fontId="14" fillId="9" borderId="13" xfId="0" applyNumberFormat="1" applyFont="1" applyFill="1" applyBorder="1" applyAlignment="1">
      <alignment horizontal="right" vertical="center" indent="1"/>
    </xf>
    <xf numFmtId="1" fontId="19" fillId="26" borderId="13" xfId="0" applyNumberFormat="1" applyFont="1" applyFill="1" applyBorder="1" applyAlignment="1">
      <alignment horizontal="right" vertical="center" indent="1"/>
    </xf>
    <xf numFmtId="1" fontId="14" fillId="9" borderId="13" xfId="0" applyNumberFormat="1" applyFont="1" applyFill="1" applyBorder="1" applyAlignment="1">
      <alignment horizontal="right" vertical="center"/>
    </xf>
    <xf numFmtId="2" fontId="14" fillId="9" borderId="0" xfId="0" applyNumberFormat="1" applyFont="1" applyFill="1" applyBorder="1" applyAlignment="1">
      <alignment horizontal="right" vertical="center" indent="1"/>
    </xf>
    <xf numFmtId="2" fontId="14" fillId="9" borderId="0" xfId="0" applyNumberFormat="1" applyFont="1" applyFill="1" applyBorder="1" applyAlignment="1">
      <alignment horizontal="right" vertical="center"/>
    </xf>
    <xf numFmtId="1" fontId="19" fillId="26" borderId="10" xfId="0" applyNumberFormat="1" applyFont="1" applyFill="1" applyBorder="1" applyAlignment="1">
      <alignment horizontal="right" vertical="center" indent="1"/>
    </xf>
    <xf numFmtId="165" fontId="4" fillId="8" borderId="9" xfId="0" applyNumberFormat="1" applyFont="1" applyFill="1" applyBorder="1" applyAlignment="1">
      <alignment horizontal="right" vertical="center" indent="1"/>
    </xf>
    <xf numFmtId="164" fontId="4" fillId="8" borderId="9" xfId="0" applyNumberFormat="1" applyFont="1" applyFill="1" applyBorder="1" applyAlignment="1">
      <alignment horizontal="right" vertical="center" indent="1"/>
    </xf>
    <xf numFmtId="1" fontId="4" fillId="8" borderId="9" xfId="0" applyNumberFormat="1" applyFont="1" applyFill="1" applyBorder="1" applyAlignment="1">
      <alignment horizontal="right" vertical="center" indent="1"/>
    </xf>
    <xf numFmtId="1" fontId="4" fillId="6" borderId="12" xfId="0" applyNumberFormat="1" applyFont="1" applyFill="1" applyBorder="1" applyAlignment="1">
      <alignment horizontal="right" vertical="center" indent="1"/>
    </xf>
    <xf numFmtId="165" fontId="4" fillId="8" borderId="7" xfId="0" applyNumberFormat="1" applyFont="1" applyFill="1" applyBorder="1" applyAlignment="1">
      <alignment horizontal="right" vertical="center" indent="1"/>
    </xf>
    <xf numFmtId="164" fontId="4" fillId="8" borderId="7" xfId="0" applyNumberFormat="1" applyFont="1" applyFill="1" applyBorder="1" applyAlignment="1">
      <alignment horizontal="right" vertical="center" indent="1"/>
    </xf>
    <xf numFmtId="1" fontId="4" fillId="8" borderId="7" xfId="0" applyNumberFormat="1" applyFont="1" applyFill="1" applyBorder="1" applyAlignment="1">
      <alignment horizontal="right" vertical="center" indent="1"/>
    </xf>
    <xf numFmtId="2" fontId="4" fillId="8" borderId="7" xfId="0" applyNumberFormat="1" applyFont="1" applyFill="1" applyBorder="1" applyAlignment="1">
      <alignment horizontal="right" vertical="center" indent="1"/>
    </xf>
    <xf numFmtId="2" fontId="4" fillId="16" borderId="7" xfId="0" applyNumberFormat="1" applyFont="1" applyFill="1" applyBorder="1" applyAlignment="1">
      <alignment horizontal="right" vertical="center" indent="1"/>
    </xf>
    <xf numFmtId="1" fontId="4" fillId="8" borderId="0" xfId="0" applyNumberFormat="1" applyFont="1" applyFill="1" applyBorder="1" applyAlignment="1">
      <alignment horizontal="right" vertical="center" indent="1"/>
    </xf>
    <xf numFmtId="165" fontId="4" fillId="6" borderId="13" xfId="0" applyNumberFormat="1" applyFont="1" applyFill="1" applyBorder="1" applyAlignment="1">
      <alignment horizontal="right" vertical="center" indent="1"/>
    </xf>
    <xf numFmtId="165" fontId="14" fillId="6" borderId="0" xfId="0" applyNumberFormat="1" applyFont="1" applyFill="1" applyBorder="1" applyAlignment="1">
      <alignment horizontal="right" vertical="center" indent="1"/>
    </xf>
    <xf numFmtId="2" fontId="14" fillId="8" borderId="0" xfId="0" applyNumberFormat="1" applyFont="1" applyFill="1" applyBorder="1" applyAlignment="1">
      <alignment horizontal="right" vertical="center" indent="1"/>
    </xf>
    <xf numFmtId="2" fontId="14" fillId="16" borderId="0" xfId="0" applyNumberFormat="1" applyFont="1" applyFill="1" applyBorder="1" applyAlignment="1">
      <alignment horizontal="right" vertical="center" indent="1"/>
    </xf>
    <xf numFmtId="0" fontId="4" fillId="8" borderId="0" xfId="0" applyFont="1" applyFill="1" applyBorder="1" applyAlignment="1">
      <alignment horizontal="right" vertical="center" indent="1"/>
    </xf>
    <xf numFmtId="0" fontId="35" fillId="6" borderId="0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right" vertical="center" indent="1"/>
    </xf>
    <xf numFmtId="0" fontId="1" fillId="2" borderId="0" xfId="0" applyFont="1" applyFill="1" applyBorder="1" applyAlignment="1">
      <alignment horizontal="right" vertical="center" indent="1"/>
    </xf>
    <xf numFmtId="0" fontId="1" fillId="15" borderId="24" xfId="0" applyFont="1" applyFill="1" applyBorder="1" applyAlignment="1">
      <alignment horizontal="center" vertical="center"/>
    </xf>
    <xf numFmtId="0" fontId="1" fillId="15" borderId="27" xfId="0" applyFont="1" applyFill="1" applyBorder="1" applyAlignment="1">
      <alignment horizontal="center" vertical="center"/>
    </xf>
    <xf numFmtId="0" fontId="1" fillId="15" borderId="28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3" fillId="10" borderId="30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3" fillId="10" borderId="28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29" xfId="0" applyFont="1" applyFill="1" applyBorder="1" applyAlignment="1">
      <alignment horizontal="center" vertical="center"/>
    </xf>
    <xf numFmtId="0" fontId="3" fillId="10" borderId="32" xfId="0" applyFont="1" applyFill="1" applyBorder="1" applyAlignment="1">
      <alignment horizontal="center" vertical="center" wrapText="1"/>
    </xf>
    <xf numFmtId="0" fontId="5" fillId="14" borderId="30" xfId="0" applyFont="1" applyFill="1" applyBorder="1" applyAlignment="1">
      <alignment horizontal="center" vertical="center"/>
    </xf>
    <xf numFmtId="0" fontId="5" fillId="14" borderId="24" xfId="0" applyFont="1" applyFill="1" applyBorder="1" applyAlignment="1">
      <alignment horizontal="center" vertical="center"/>
    </xf>
    <xf numFmtId="164" fontId="4" fillId="6" borderId="32" xfId="0" applyNumberFormat="1" applyFont="1" applyFill="1" applyBorder="1" applyAlignment="1">
      <alignment horizontal="right" vertical="center" indent="1"/>
    </xf>
    <xf numFmtId="1" fontId="4" fillId="6" borderId="32" xfId="0" applyNumberFormat="1" applyFont="1" applyFill="1" applyBorder="1" applyAlignment="1">
      <alignment horizontal="right" vertical="center" indent="1"/>
    </xf>
    <xf numFmtId="164" fontId="16" fillId="6" borderId="32" xfId="0" applyNumberFormat="1" applyFont="1" applyFill="1" applyBorder="1" applyAlignment="1">
      <alignment horizontal="right" vertical="center" indent="1"/>
    </xf>
    <xf numFmtId="165" fontId="4" fillId="6" borderId="32" xfId="0" applyNumberFormat="1" applyFont="1" applyFill="1" applyBorder="1" applyAlignment="1">
      <alignment horizontal="right" vertical="center" indent="1"/>
    </xf>
    <xf numFmtId="2" fontId="4" fillId="6" borderId="32" xfId="0" applyNumberFormat="1" applyFont="1" applyFill="1" applyBorder="1" applyAlignment="1">
      <alignment horizontal="right" vertical="center" indent="1"/>
    </xf>
    <xf numFmtId="10" fontId="29" fillId="16" borderId="32" xfId="0" applyNumberFormat="1" applyFont="1" applyFill="1" applyBorder="1" applyAlignment="1">
      <alignment horizontal="right" vertical="center" indent="1"/>
    </xf>
    <xf numFmtId="10" fontId="14" fillId="6" borderId="32" xfId="0" applyNumberFormat="1" applyFont="1" applyFill="1" applyBorder="1" applyAlignment="1">
      <alignment horizontal="right" vertical="center" indent="1"/>
    </xf>
    <xf numFmtId="164" fontId="4" fillId="6" borderId="34" xfId="0" applyNumberFormat="1" applyFont="1" applyFill="1" applyBorder="1" applyAlignment="1">
      <alignment horizontal="right" vertical="center" indent="1"/>
    </xf>
    <xf numFmtId="10" fontId="14" fillId="16" borderId="32" xfId="0" applyNumberFormat="1" applyFont="1" applyFill="1" applyBorder="1" applyAlignment="1">
      <alignment horizontal="right" vertical="center" indent="1"/>
    </xf>
    <xf numFmtId="10" fontId="32" fillId="16" borderId="32" xfId="0" applyNumberFormat="1" applyFont="1" applyFill="1" applyBorder="1" applyAlignment="1">
      <alignment horizontal="right" vertical="center" indent="1"/>
    </xf>
    <xf numFmtId="10" fontId="14" fillId="6" borderId="33" xfId="0" applyNumberFormat="1" applyFont="1" applyFill="1" applyBorder="1" applyAlignment="1">
      <alignment horizontal="right" vertical="center" indent="1"/>
    </xf>
    <xf numFmtId="10" fontId="26" fillId="16" borderId="32" xfId="0" applyNumberFormat="1" applyFont="1" applyFill="1" applyBorder="1" applyAlignment="1">
      <alignment horizontal="right" vertical="center" indent="1"/>
    </xf>
    <xf numFmtId="164" fontId="4" fillId="6" borderId="33" xfId="0" applyNumberFormat="1" applyFont="1" applyFill="1" applyBorder="1" applyAlignment="1">
      <alignment horizontal="right" vertical="center" indent="1"/>
    </xf>
    <xf numFmtId="10" fontId="29" fillId="6" borderId="34" xfId="0" applyNumberFormat="1" applyFont="1" applyFill="1" applyBorder="1" applyAlignment="1">
      <alignment horizontal="right" vertical="center" indent="1"/>
    </xf>
    <xf numFmtId="10" fontId="26" fillId="6" borderId="32" xfId="0" applyNumberFormat="1" applyFont="1" applyFill="1" applyBorder="1" applyAlignment="1">
      <alignment horizontal="right" vertical="center" indent="1"/>
    </xf>
    <xf numFmtId="0" fontId="4" fillId="6" borderId="32" xfId="0" applyFont="1" applyFill="1" applyBorder="1" applyAlignment="1">
      <alignment horizontal="right" vertical="center" indent="1"/>
    </xf>
    <xf numFmtId="0" fontId="16" fillId="6" borderId="32" xfId="0" applyFont="1" applyFill="1" applyBorder="1" applyAlignment="1">
      <alignment horizontal="right" vertical="center" indent="1"/>
    </xf>
    <xf numFmtId="0" fontId="4" fillId="6" borderId="33" xfId="0" applyFont="1" applyFill="1" applyBorder="1" applyAlignment="1">
      <alignment horizontal="right" vertical="center" indent="1"/>
    </xf>
    <xf numFmtId="0" fontId="4" fillId="6" borderId="34" xfId="0" applyFont="1" applyFill="1" applyBorder="1" applyAlignment="1">
      <alignment horizontal="right" vertical="center" indent="1"/>
    </xf>
    <xf numFmtId="1" fontId="4" fillId="8" borderId="0" xfId="0" applyNumberFormat="1" applyFont="1" applyFill="1" applyBorder="1" applyAlignment="1">
      <alignment vertical="center"/>
    </xf>
    <xf numFmtId="165" fontId="4" fillId="8" borderId="0" xfId="0" applyNumberFormat="1" applyFont="1" applyFill="1" applyBorder="1" applyAlignment="1">
      <alignment vertical="center"/>
    </xf>
    <xf numFmtId="1" fontId="29" fillId="6" borderId="32" xfId="0" applyNumberFormat="1" applyFont="1" applyFill="1" applyBorder="1" applyAlignment="1">
      <alignment horizontal="right" vertical="center" indent="1"/>
    </xf>
    <xf numFmtId="10" fontId="14" fillId="6" borderId="34" xfId="0" applyNumberFormat="1" applyFont="1" applyFill="1" applyBorder="1" applyAlignment="1">
      <alignment horizontal="right" vertical="center" indent="1"/>
    </xf>
    <xf numFmtId="0" fontId="7" fillId="6" borderId="24" xfId="0" applyFont="1" applyFill="1" applyBorder="1" applyAlignment="1">
      <alignment horizontal="left" vertical="center" indent="1"/>
    </xf>
    <xf numFmtId="0" fontId="4" fillId="6" borderId="24" xfId="0" applyFont="1" applyFill="1" applyBorder="1" applyAlignment="1">
      <alignment vertical="center"/>
    </xf>
    <xf numFmtId="0" fontId="14" fillId="6" borderId="24" xfId="0" applyFont="1" applyFill="1" applyBorder="1" applyAlignment="1">
      <alignment vertical="center"/>
    </xf>
    <xf numFmtId="165" fontId="4" fillId="8" borderId="26" xfId="0" applyNumberFormat="1" applyFont="1" applyFill="1" applyBorder="1" applyAlignment="1">
      <alignment horizontal="right" vertical="center" indent="1"/>
    </xf>
    <xf numFmtId="164" fontId="4" fillId="6" borderId="24" xfId="0" applyNumberFormat="1" applyFont="1" applyFill="1" applyBorder="1" applyAlignment="1">
      <alignment horizontal="right" vertical="center" indent="1"/>
    </xf>
    <xf numFmtId="165" fontId="4" fillId="8" borderId="24" xfId="0" applyNumberFormat="1" applyFont="1" applyFill="1" applyBorder="1" applyAlignment="1">
      <alignment horizontal="right" vertical="center" indent="1"/>
    </xf>
    <xf numFmtId="0" fontId="4" fillId="6" borderId="24" xfId="0" applyFont="1" applyFill="1" applyBorder="1" applyAlignment="1">
      <alignment horizontal="right" vertical="center" indent="1"/>
    </xf>
    <xf numFmtId="0" fontId="4" fillId="6" borderId="30" xfId="0" applyFont="1" applyFill="1" applyBorder="1" applyAlignment="1">
      <alignment horizontal="right" vertical="center" indent="1"/>
    </xf>
    <xf numFmtId="164" fontId="4" fillId="6" borderId="30" xfId="0" applyNumberFormat="1" applyFont="1" applyFill="1" applyBorder="1" applyAlignment="1">
      <alignment horizontal="right" vertical="center" indent="1"/>
    </xf>
    <xf numFmtId="0" fontId="4" fillId="6" borderId="25" xfId="0" applyFont="1" applyFill="1" applyBorder="1" applyAlignment="1">
      <alignment vertical="center"/>
    </xf>
    <xf numFmtId="164" fontId="14" fillId="9" borderId="26" xfId="0" applyNumberFormat="1" applyFont="1" applyFill="1" applyBorder="1" applyAlignment="1">
      <alignment horizontal="right" vertical="center" indent="1"/>
    </xf>
    <xf numFmtId="1" fontId="4" fillId="9" borderId="24" xfId="0" applyNumberFormat="1" applyFont="1" applyFill="1" applyBorder="1" applyAlignment="1">
      <alignment horizontal="right" vertical="center" indent="1"/>
    </xf>
    <xf numFmtId="164" fontId="14" fillId="6" borderId="30" xfId="0" applyNumberFormat="1" applyFont="1" applyFill="1" applyBorder="1" applyAlignment="1">
      <alignment horizontal="right" vertical="center" indent="1"/>
    </xf>
    <xf numFmtId="164" fontId="14" fillId="9" borderId="24" xfId="0" applyNumberFormat="1" applyFont="1" applyFill="1" applyBorder="1" applyAlignment="1">
      <alignment horizontal="right" vertical="center" indent="1"/>
    </xf>
    <xf numFmtId="0" fontId="7" fillId="6" borderId="23" xfId="0" applyFont="1" applyFill="1" applyBorder="1" applyAlignment="1">
      <alignment horizontal="left" vertical="center" indent="1"/>
    </xf>
    <xf numFmtId="0" fontId="4" fillId="6" borderId="23" xfId="0" applyFont="1" applyFill="1" applyBorder="1" applyAlignment="1">
      <alignment vertical="center"/>
    </xf>
    <xf numFmtId="0" fontId="14" fillId="6" borderId="35" xfId="0" applyFont="1" applyFill="1" applyBorder="1" applyAlignment="1">
      <alignment vertical="center"/>
    </xf>
    <xf numFmtId="164" fontId="14" fillId="16" borderId="24" xfId="0" applyNumberFormat="1" applyFont="1" applyFill="1" applyBorder="1" applyAlignment="1">
      <alignment horizontal="right" vertical="center" indent="1"/>
    </xf>
    <xf numFmtId="10" fontId="14" fillId="6" borderId="36" xfId="0" applyNumberFormat="1" applyFont="1" applyFill="1" applyBorder="1" applyAlignment="1">
      <alignment horizontal="right" vertical="center" indent="1"/>
    </xf>
    <xf numFmtId="0" fontId="4" fillId="6" borderId="35" xfId="0" applyFont="1" applyFill="1" applyBorder="1" applyAlignment="1">
      <alignment vertical="center"/>
    </xf>
    <xf numFmtId="165" fontId="4" fillId="6" borderId="24" xfId="0" applyNumberFormat="1" applyFont="1" applyFill="1" applyBorder="1" applyAlignment="1">
      <alignment horizontal="right" vertical="center" indent="1"/>
    </xf>
    <xf numFmtId="165" fontId="4" fillId="6" borderId="30" xfId="0" applyNumberFormat="1" applyFont="1" applyFill="1" applyBorder="1" applyAlignment="1">
      <alignment horizontal="right" vertical="center" indent="1"/>
    </xf>
    <xf numFmtId="0" fontId="4" fillId="8" borderId="24" xfId="0" applyFont="1" applyFill="1" applyBorder="1" applyAlignment="1">
      <alignment horizontal="right" vertical="center" indent="1"/>
    </xf>
    <xf numFmtId="0" fontId="18" fillId="6" borderId="24" xfId="0" applyFont="1" applyFill="1" applyBorder="1" applyAlignment="1">
      <alignment horizontal="right" vertical="center" indent="1"/>
    </xf>
    <xf numFmtId="0" fontId="4" fillId="8" borderId="24" xfId="0" applyFont="1" applyFill="1" applyBorder="1" applyAlignment="1">
      <alignment horizontal="right" vertical="center"/>
    </xf>
    <xf numFmtId="165" fontId="4" fillId="6" borderId="25" xfId="0" applyNumberFormat="1" applyFont="1" applyFill="1" applyBorder="1" applyAlignment="1">
      <alignment vertical="center"/>
    </xf>
    <xf numFmtId="167" fontId="14" fillId="9" borderId="24" xfId="0" applyNumberFormat="1" applyFont="1" applyFill="1" applyBorder="1" applyAlignment="1">
      <alignment horizontal="right" vertical="center" indent="1"/>
    </xf>
    <xf numFmtId="167" fontId="4" fillId="16" borderId="24" xfId="0" applyNumberFormat="1" applyFont="1" applyFill="1" applyBorder="1" applyAlignment="1">
      <alignment horizontal="right" vertical="center" indent="1"/>
    </xf>
    <xf numFmtId="10" fontId="14" fillId="6" borderId="30" xfId="0" applyNumberFormat="1" applyFont="1" applyFill="1" applyBorder="1" applyAlignment="1">
      <alignment horizontal="right" vertical="center" indent="1"/>
    </xf>
    <xf numFmtId="166" fontId="4" fillId="16" borderId="24" xfId="0" applyNumberFormat="1" applyFont="1" applyFill="1" applyBorder="1" applyAlignment="1">
      <alignment horizontal="right" vertical="center" indent="1"/>
    </xf>
    <xf numFmtId="167" fontId="14" fillId="9" borderId="24" xfId="0" applyNumberFormat="1" applyFont="1" applyFill="1" applyBorder="1" applyAlignment="1">
      <alignment horizontal="right" vertical="center"/>
    </xf>
    <xf numFmtId="167" fontId="4" fillId="16" borderId="24" xfId="0" applyNumberFormat="1" applyFont="1" applyFill="1" applyBorder="1" applyAlignment="1">
      <alignment horizontal="right" vertical="center"/>
    </xf>
    <xf numFmtId="10" fontId="14" fillId="6" borderId="25" xfId="0" applyNumberFormat="1" applyFont="1" applyFill="1" applyBorder="1" applyAlignment="1">
      <alignment horizontal="right" vertical="center"/>
    </xf>
    <xf numFmtId="164" fontId="14" fillId="9" borderId="24" xfId="0" applyNumberFormat="1" applyFont="1" applyFill="1" applyBorder="1" applyAlignment="1">
      <alignment horizontal="right" vertical="center"/>
    </xf>
    <xf numFmtId="1" fontId="4" fillId="9" borderId="24" xfId="0" applyNumberFormat="1" applyFont="1" applyFill="1" applyBorder="1" applyAlignment="1">
      <alignment horizontal="right" vertical="center"/>
    </xf>
    <xf numFmtId="164" fontId="4" fillId="16" borderId="24" xfId="0" applyNumberFormat="1" applyFont="1" applyFill="1" applyBorder="1" applyAlignment="1">
      <alignment horizontal="right" vertical="center" indent="1"/>
    </xf>
    <xf numFmtId="10" fontId="26" fillId="6" borderId="30" xfId="0" applyNumberFormat="1" applyFont="1" applyFill="1" applyBorder="1" applyAlignment="1">
      <alignment horizontal="right" vertical="center" indent="1"/>
    </xf>
    <xf numFmtId="0" fontId="14" fillId="6" borderId="0" xfId="0" applyFont="1" applyFill="1" applyBorder="1" applyAlignment="1">
      <alignment horizontal="right" vertical="center"/>
    </xf>
    <xf numFmtId="0" fontId="14" fillId="6" borderId="0" xfId="0" applyFont="1" applyFill="1" applyBorder="1" applyAlignment="1">
      <alignment horizontal="right" vertical="center" indent="1"/>
    </xf>
    <xf numFmtId="0" fontId="4" fillId="6" borderId="0" xfId="0" applyFont="1" applyFill="1" applyBorder="1" applyAlignment="1">
      <alignment horizontal="right" vertical="center"/>
    </xf>
    <xf numFmtId="0" fontId="4" fillId="6" borderId="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right" vertical="center"/>
    </xf>
    <xf numFmtId="2" fontId="4" fillId="9" borderId="0" xfId="0" applyNumberFormat="1" applyFont="1" applyFill="1" applyBorder="1" applyAlignment="1">
      <alignment horizontal="right" vertical="center" indent="1"/>
    </xf>
    <xf numFmtId="0" fontId="36" fillId="6" borderId="0" xfId="0" applyFont="1" applyFill="1" applyBorder="1" applyAlignment="1">
      <alignment horizontal="left" vertical="center"/>
    </xf>
    <xf numFmtId="0" fontId="36" fillId="6" borderId="0" xfId="0" applyFont="1" applyFill="1" applyBorder="1" applyAlignment="1">
      <alignment horizontal="right" vertical="center"/>
    </xf>
    <xf numFmtId="0" fontId="35" fillId="6" borderId="0" xfId="0" applyFont="1" applyFill="1" applyBorder="1" applyAlignment="1">
      <alignment vertical="top" wrapText="1"/>
    </xf>
    <xf numFmtId="0" fontId="14" fillId="6" borderId="37" xfId="0" applyFont="1" applyFill="1" applyBorder="1" applyAlignment="1">
      <alignment horizontal="right" vertical="center"/>
    </xf>
    <xf numFmtId="164" fontId="16" fillId="6" borderId="37" xfId="0" applyNumberFormat="1" applyFont="1" applyFill="1" applyBorder="1" applyAlignment="1">
      <alignment horizontal="right" vertical="center" indent="1"/>
    </xf>
    <xf numFmtId="0" fontId="4" fillId="8" borderId="37" xfId="0" applyFont="1" applyFill="1" applyBorder="1" applyAlignment="1">
      <alignment horizontal="right" vertical="center" indent="1"/>
    </xf>
    <xf numFmtId="0" fontId="4" fillId="16" borderId="37" xfId="0" applyFont="1" applyFill="1" applyBorder="1" applyAlignment="1">
      <alignment horizontal="right" vertical="center" indent="1"/>
    </xf>
    <xf numFmtId="0" fontId="35" fillId="6" borderId="0" xfId="0" applyFont="1" applyFill="1" applyBorder="1" applyAlignment="1">
      <alignment horizontal="right" vertical="center" wrapText="1"/>
    </xf>
    <xf numFmtId="164" fontId="4" fillId="8" borderId="24" xfId="0" applyNumberFormat="1" applyFont="1" applyFill="1" applyBorder="1" applyAlignment="1">
      <alignment horizontal="center" vertical="center"/>
    </xf>
    <xf numFmtId="164" fontId="4" fillId="8" borderId="27" xfId="0" applyNumberFormat="1" applyFont="1" applyFill="1" applyBorder="1" applyAlignment="1">
      <alignment horizontal="center" vertical="center"/>
    </xf>
    <xf numFmtId="0" fontId="14" fillId="7" borderId="38" xfId="0" applyFont="1" applyFill="1" applyBorder="1" applyAlignment="1">
      <alignment horizontal="right" vertical="center" indent="1"/>
    </xf>
    <xf numFmtId="0" fontId="14" fillId="7" borderId="9" xfId="0" applyFont="1" applyFill="1" applyBorder="1" applyAlignment="1">
      <alignment horizontal="right" vertical="center" indent="1"/>
    </xf>
    <xf numFmtId="0" fontId="14" fillId="7" borderId="4" xfId="0" applyFont="1" applyFill="1" applyBorder="1" applyAlignment="1">
      <alignment horizontal="right" vertical="center" indent="1"/>
    </xf>
    <xf numFmtId="0" fontId="14" fillId="9" borderId="7" xfId="0" quotePrefix="1" applyFont="1" applyFill="1" applyBorder="1" applyAlignment="1">
      <alignment horizontal="right" vertical="center" indent="1"/>
    </xf>
    <xf numFmtId="0" fontId="14" fillId="9" borderId="8" xfId="0" quotePrefix="1" applyFont="1" applyFill="1" applyBorder="1" applyAlignment="1">
      <alignment horizontal="right" vertical="center" indent="1"/>
    </xf>
    <xf numFmtId="0" fontId="14" fillId="9" borderId="6" xfId="0" quotePrefix="1" applyFont="1" applyFill="1" applyBorder="1" applyAlignment="1">
      <alignment horizontal="right" vertical="center" indent="1"/>
    </xf>
    <xf numFmtId="0" fontId="14" fillId="6" borderId="0" xfId="0" applyFont="1" applyFill="1" applyBorder="1" applyAlignment="1">
      <alignment horizontal="left" vertical="center" indent="1"/>
    </xf>
    <xf numFmtId="0" fontId="14" fillId="16" borderId="0" xfId="0" applyFont="1" applyFill="1" applyBorder="1" applyAlignment="1">
      <alignment horizontal="right" vertical="center"/>
    </xf>
    <xf numFmtId="0" fontId="4" fillId="6" borderId="0" xfId="0" applyFont="1" applyFill="1" applyBorder="1" applyAlignment="1">
      <alignment horizontal="left" vertical="center"/>
    </xf>
    <xf numFmtId="0" fontId="4" fillId="8" borderId="32" xfId="0" applyFont="1" applyFill="1" applyBorder="1" applyAlignment="1">
      <alignment horizontal="right" vertical="center" indent="1"/>
    </xf>
    <xf numFmtId="0" fontId="7" fillId="6" borderId="0" xfId="0" applyFont="1" applyFill="1" applyBorder="1" applyAlignment="1">
      <alignment horizontal="right" vertical="center"/>
    </xf>
    <xf numFmtId="0" fontId="7" fillId="6" borderId="0" xfId="0" quotePrefix="1" applyFont="1" applyFill="1" applyBorder="1" applyAlignment="1">
      <alignment horizontal="right" vertical="center"/>
    </xf>
    <xf numFmtId="0" fontId="14" fillId="6" borderId="0" xfId="0" applyFont="1" applyFill="1" applyBorder="1" applyAlignment="1">
      <alignment vertical="top" wrapText="1"/>
    </xf>
    <xf numFmtId="0" fontId="14" fillId="6" borderId="0" xfId="0" applyFont="1" applyFill="1" applyBorder="1" applyAlignment="1">
      <alignment vertical="top"/>
    </xf>
    <xf numFmtId="2" fontId="4" fillId="6" borderId="37" xfId="0" applyNumberFormat="1" applyFont="1" applyFill="1" applyBorder="1" applyAlignment="1">
      <alignment horizontal="right" vertical="center" indent="1"/>
    </xf>
    <xf numFmtId="0" fontId="4" fillId="6" borderId="37" xfId="0" applyFont="1" applyFill="1" applyBorder="1" applyAlignment="1">
      <alignment horizontal="right" vertical="center" indent="1"/>
    </xf>
    <xf numFmtId="165" fontId="4" fillId="6" borderId="37" xfId="0" applyNumberFormat="1" applyFont="1" applyFill="1" applyBorder="1" applyAlignment="1">
      <alignment horizontal="right" vertical="center" indent="1"/>
    </xf>
    <xf numFmtId="165" fontId="4" fillId="16" borderId="37" xfId="0" applyNumberFormat="1" applyFont="1" applyFill="1" applyBorder="1" applyAlignment="1">
      <alignment horizontal="left" vertical="center" indent="1"/>
    </xf>
    <xf numFmtId="165" fontId="4" fillId="16" borderId="0" xfId="0" applyNumberFormat="1" applyFont="1" applyFill="1" applyBorder="1" applyAlignment="1">
      <alignment horizontal="left" vertical="center"/>
    </xf>
    <xf numFmtId="0" fontId="35" fillId="16" borderId="0" xfId="0" applyFont="1" applyFill="1" applyBorder="1" applyAlignment="1">
      <alignment horizontal="left" vertical="center"/>
    </xf>
    <xf numFmtId="1" fontId="4" fillId="16" borderId="27" xfId="0" applyNumberFormat="1" applyFont="1" applyFill="1" applyBorder="1" applyAlignment="1">
      <alignment horizontal="right" vertical="center" indent="1"/>
    </xf>
    <xf numFmtId="1" fontId="4" fillId="31" borderId="27" xfId="0" applyNumberFormat="1" applyFont="1" applyFill="1" applyBorder="1" applyAlignment="1">
      <alignment horizontal="right" vertical="center" indent="1"/>
    </xf>
    <xf numFmtId="165" fontId="4" fillId="30" borderId="0" xfId="0" applyNumberFormat="1" applyFont="1" applyFill="1" applyBorder="1" applyAlignment="1">
      <alignment horizontal="right" vertical="center" indent="1"/>
    </xf>
    <xf numFmtId="1" fontId="27" fillId="31" borderId="30" xfId="0" applyNumberFormat="1" applyFont="1" applyFill="1" applyBorder="1" applyAlignment="1">
      <alignment horizontal="right" vertical="center" indent="1"/>
    </xf>
    <xf numFmtId="0" fontId="4" fillId="31" borderId="32" xfId="0" applyFont="1" applyFill="1" applyBorder="1" applyAlignment="1">
      <alignment horizontal="right" vertical="center" indent="1"/>
    </xf>
    <xf numFmtId="165" fontId="4" fillId="31" borderId="24" xfId="0" applyNumberFormat="1" applyFont="1" applyFill="1" applyBorder="1" applyAlignment="1">
      <alignment horizontal="right" vertical="center" indent="1"/>
    </xf>
    <xf numFmtId="165" fontId="4" fillId="31" borderId="27" xfId="0" applyNumberFormat="1" applyFont="1" applyFill="1" applyBorder="1" applyAlignment="1">
      <alignment horizontal="right" vertical="center" indent="1"/>
    </xf>
    <xf numFmtId="165" fontId="4" fillId="31" borderId="0" xfId="0" applyNumberFormat="1" applyFont="1" applyFill="1" applyBorder="1" applyAlignment="1">
      <alignment horizontal="right" vertical="center" indent="1"/>
    </xf>
    <xf numFmtId="1" fontId="4" fillId="31" borderId="30" xfId="0" applyNumberFormat="1" applyFont="1" applyFill="1" applyBorder="1" applyAlignment="1">
      <alignment horizontal="right" vertical="center" indent="1"/>
    </xf>
    <xf numFmtId="1" fontId="4" fillId="31" borderId="0" xfId="0" applyNumberFormat="1" applyFont="1" applyFill="1" applyBorder="1" applyAlignment="1">
      <alignment horizontal="right" vertical="center" indent="1"/>
    </xf>
    <xf numFmtId="0" fontId="35" fillId="6" borderId="0" xfId="0" applyFont="1" applyFill="1" applyBorder="1" applyAlignment="1">
      <alignment vertical="top"/>
    </xf>
    <xf numFmtId="0" fontId="4" fillId="31" borderId="0" xfId="0" applyFont="1" applyFill="1" applyBorder="1" applyAlignment="1">
      <alignment horizontal="left" vertical="center" indent="1"/>
    </xf>
    <xf numFmtId="1" fontId="4" fillId="31" borderId="0" xfId="0" applyNumberFormat="1" applyFont="1" applyFill="1" applyBorder="1" applyAlignment="1">
      <alignment horizontal="center" vertical="center"/>
    </xf>
    <xf numFmtId="165" fontId="14" fillId="30" borderId="0" xfId="0" applyNumberFormat="1" applyFont="1" applyFill="1" applyBorder="1" applyAlignment="1">
      <alignment horizontal="right" vertical="center"/>
    </xf>
    <xf numFmtId="1" fontId="14" fillId="30" borderId="0" xfId="0" applyNumberFormat="1" applyFont="1" applyFill="1" applyBorder="1" applyAlignment="1">
      <alignment horizontal="right" vertical="center"/>
    </xf>
    <xf numFmtId="1" fontId="14" fillId="29" borderId="0" xfId="0" applyNumberFormat="1" applyFont="1" applyFill="1" applyBorder="1" applyAlignment="1">
      <alignment horizontal="right" vertical="center"/>
    </xf>
    <xf numFmtId="165" fontId="14" fillId="31" borderId="0" xfId="0" applyNumberFormat="1" applyFont="1" applyFill="1" applyBorder="1" applyAlignment="1">
      <alignment horizontal="right" vertical="center"/>
    </xf>
    <xf numFmtId="169" fontId="14" fillId="31" borderId="0" xfId="0" applyNumberFormat="1" applyFont="1" applyFill="1" applyBorder="1" applyAlignment="1">
      <alignment horizontal="right" vertical="center"/>
    </xf>
    <xf numFmtId="164" fontId="14" fillId="31" borderId="0" xfId="0" applyNumberFormat="1" applyFont="1" applyFill="1" applyBorder="1" applyAlignment="1">
      <alignment horizontal="right" vertical="center"/>
    </xf>
    <xf numFmtId="1" fontId="14" fillId="31" borderId="0" xfId="0" applyNumberFormat="1" applyFont="1" applyFill="1" applyBorder="1" applyAlignment="1">
      <alignment horizontal="right" vertical="center"/>
    </xf>
    <xf numFmtId="165" fontId="27" fillId="31" borderId="32" xfId="0" applyNumberFormat="1" applyFont="1" applyFill="1" applyBorder="1" applyAlignment="1">
      <alignment horizontal="right" vertical="center" indent="1"/>
    </xf>
    <xf numFmtId="165" fontId="27" fillId="31" borderId="0" xfId="0" applyNumberFormat="1" applyFont="1" applyFill="1" applyBorder="1" applyAlignment="1">
      <alignment horizontal="right" vertical="center" indent="1"/>
    </xf>
    <xf numFmtId="1" fontId="4" fillId="31" borderId="37" xfId="0" applyNumberFormat="1" applyFont="1" applyFill="1" applyBorder="1" applyAlignment="1">
      <alignment horizontal="right" vertical="center" indent="1"/>
    </xf>
    <xf numFmtId="1" fontId="4" fillId="31" borderId="32" xfId="0" applyNumberFormat="1" applyFont="1" applyFill="1" applyBorder="1" applyAlignment="1">
      <alignment horizontal="right" vertical="center" indent="1"/>
    </xf>
    <xf numFmtId="1" fontId="4" fillId="31" borderId="37" xfId="0" applyNumberFormat="1" applyFont="1" applyFill="1" applyBorder="1" applyAlignment="1">
      <alignment horizontal="center" vertical="center"/>
    </xf>
    <xf numFmtId="0" fontId="14" fillId="31" borderId="0" xfId="0" applyFont="1" applyFill="1" applyBorder="1" applyAlignment="1">
      <alignment horizontal="left" vertical="center"/>
    </xf>
    <xf numFmtId="1" fontId="4" fillId="31" borderId="0" xfId="0" applyNumberFormat="1" applyFont="1" applyFill="1" applyBorder="1" applyAlignment="1">
      <alignment horizontal="left" vertical="center"/>
    </xf>
    <xf numFmtId="1" fontId="4" fillId="31" borderId="30" xfId="0" applyNumberFormat="1" applyFont="1" applyFill="1" applyBorder="1" applyAlignment="1">
      <alignment horizontal="right" vertical="center"/>
    </xf>
    <xf numFmtId="165" fontId="4" fillId="31" borderId="0" xfId="0" applyNumberFormat="1" applyFont="1" applyFill="1" applyBorder="1" applyAlignment="1">
      <alignment horizontal="left" vertical="center"/>
    </xf>
    <xf numFmtId="165" fontId="4" fillId="30" borderId="0" xfId="0" applyNumberFormat="1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right" vertical="center" indent="1"/>
    </xf>
    <xf numFmtId="164" fontId="15" fillId="6" borderId="0" xfId="0" applyNumberFormat="1" applyFont="1" applyFill="1" applyBorder="1" applyAlignment="1">
      <alignment horizontal="right" vertical="center" indent="1"/>
    </xf>
    <xf numFmtId="0" fontId="9" fillId="6" borderId="0" xfId="0" applyFont="1" applyFill="1" applyBorder="1" applyAlignment="1">
      <alignment horizontal="right" vertical="center"/>
    </xf>
    <xf numFmtId="0" fontId="9" fillId="6" borderId="37" xfId="0" applyFont="1" applyFill="1" applyBorder="1" applyAlignment="1">
      <alignment horizontal="right" vertical="center"/>
    </xf>
    <xf numFmtId="164" fontId="15" fillId="6" borderId="37" xfId="0" applyNumberFormat="1" applyFont="1" applyFill="1" applyBorder="1" applyAlignment="1">
      <alignment horizontal="right" vertical="center" indent="1"/>
    </xf>
    <xf numFmtId="0" fontId="9" fillId="6" borderId="0" xfId="0" applyFont="1" applyFill="1" applyBorder="1" applyAlignment="1">
      <alignment horizontal="left" vertical="center"/>
    </xf>
    <xf numFmtId="0" fontId="9" fillId="6" borderId="0" xfId="0" quotePrefix="1" applyFont="1" applyFill="1" applyBorder="1" applyAlignment="1">
      <alignment horizontal="right" vertical="center"/>
    </xf>
    <xf numFmtId="0" fontId="9" fillId="6" borderId="0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vertical="top"/>
    </xf>
    <xf numFmtId="0" fontId="9" fillId="6" borderId="0" xfId="0" applyFont="1" applyFill="1" applyBorder="1" applyAlignment="1">
      <alignment vertical="top" wrapText="1"/>
    </xf>
    <xf numFmtId="165" fontId="4" fillId="6" borderId="0" xfId="0" applyNumberFormat="1" applyFont="1" applyFill="1" applyBorder="1" applyAlignment="1">
      <alignment horizontal="right" vertical="center"/>
    </xf>
    <xf numFmtId="1" fontId="4" fillId="6" borderId="0" xfId="0" applyNumberFormat="1" applyFont="1" applyFill="1" applyBorder="1" applyAlignment="1">
      <alignment horizontal="right" vertical="center"/>
    </xf>
    <xf numFmtId="1" fontId="27" fillId="30" borderId="32" xfId="0" applyNumberFormat="1" applyFont="1" applyFill="1" applyBorder="1" applyAlignment="1">
      <alignment horizontal="right" vertical="center" indent="1"/>
    </xf>
    <xf numFmtId="165" fontId="27" fillId="31" borderId="37" xfId="0" applyNumberFormat="1" applyFont="1" applyFill="1" applyBorder="1" applyAlignment="1">
      <alignment horizontal="right" vertical="center" indent="1"/>
    </xf>
    <xf numFmtId="1" fontId="27" fillId="31" borderId="32" xfId="0" applyNumberFormat="1" applyFont="1" applyFill="1" applyBorder="1" applyAlignment="1">
      <alignment horizontal="right" vertical="center" indent="1"/>
    </xf>
    <xf numFmtId="1" fontId="27" fillId="31" borderId="37" xfId="0" applyNumberFormat="1" applyFont="1" applyFill="1" applyBorder="1" applyAlignment="1">
      <alignment horizontal="right" vertical="center" indent="1"/>
    </xf>
    <xf numFmtId="0" fontId="27" fillId="16" borderId="32" xfId="0" applyFont="1" applyFill="1" applyBorder="1" applyAlignment="1">
      <alignment horizontal="right" vertical="center" indent="1"/>
    </xf>
    <xf numFmtId="2" fontId="27" fillId="31" borderId="32" xfId="0" applyNumberFormat="1" applyFont="1" applyFill="1" applyBorder="1" applyAlignment="1">
      <alignment horizontal="right" vertical="center" indent="1"/>
    </xf>
    <xf numFmtId="2" fontId="27" fillId="31" borderId="37" xfId="0" applyNumberFormat="1" applyFont="1" applyFill="1" applyBorder="1" applyAlignment="1">
      <alignment horizontal="right" vertical="center" indent="1"/>
    </xf>
    <xf numFmtId="1" fontId="27" fillId="31" borderId="27" xfId="0" applyNumberFormat="1" applyFont="1" applyFill="1" applyBorder="1" applyAlignment="1">
      <alignment horizontal="right" vertical="center" indent="1"/>
    </xf>
    <xf numFmtId="165" fontId="4" fillId="30" borderId="30" xfId="0" applyNumberFormat="1" applyFont="1" applyFill="1" applyBorder="1" applyAlignment="1">
      <alignment horizontal="right" vertical="center" indent="1"/>
    </xf>
    <xf numFmtId="1" fontId="4" fillId="31" borderId="29" xfId="0" applyNumberFormat="1" applyFont="1" applyFill="1" applyBorder="1" applyAlignment="1">
      <alignment horizontal="center" vertical="center"/>
    </xf>
    <xf numFmtId="1" fontId="4" fillId="31" borderId="29" xfId="0" applyNumberFormat="1" applyFont="1" applyFill="1" applyBorder="1" applyAlignment="1">
      <alignment horizontal="left" vertical="center"/>
    </xf>
    <xf numFmtId="165" fontId="14" fillId="30" borderId="30" xfId="0" applyNumberFormat="1" applyFont="1" applyFill="1" applyBorder="1" applyAlignment="1">
      <alignment horizontal="right" vertical="center"/>
    </xf>
    <xf numFmtId="0" fontId="36" fillId="16" borderId="40" xfId="0" applyFont="1" applyFill="1" applyBorder="1" applyAlignment="1">
      <alignment horizontal="center" vertical="center"/>
    </xf>
    <xf numFmtId="0" fontId="36" fillId="16" borderId="39" xfId="0" applyFont="1" applyFill="1" applyBorder="1" applyAlignment="1">
      <alignment horizontal="center" vertical="center"/>
    </xf>
    <xf numFmtId="1" fontId="4" fillId="16" borderId="30" xfId="0" applyNumberFormat="1" applyFont="1" applyFill="1" applyBorder="1" applyAlignment="1">
      <alignment horizontal="right" vertical="center" indent="1"/>
    </xf>
    <xf numFmtId="0" fontId="27" fillId="16" borderId="37" xfId="0" applyFont="1" applyFill="1" applyBorder="1" applyAlignment="1">
      <alignment horizontal="right" vertical="center" indent="1"/>
    </xf>
    <xf numFmtId="1" fontId="27" fillId="30" borderId="37" xfId="0" applyNumberFormat="1" applyFont="1" applyFill="1" applyBorder="1" applyAlignment="1">
      <alignment horizontal="right" vertical="center" indent="1"/>
    </xf>
    <xf numFmtId="165" fontId="4" fillId="30" borderId="32" xfId="0" applyNumberFormat="1" applyFont="1" applyFill="1" applyBorder="1" applyAlignment="1">
      <alignment horizontal="right" vertical="center" indent="1"/>
    </xf>
    <xf numFmtId="168" fontId="39" fillId="32" borderId="0" xfId="0" applyNumberFormat="1" applyFont="1" applyFill="1" applyAlignment="1">
      <alignment horizontal="right" wrapText="1"/>
    </xf>
    <xf numFmtId="1" fontId="39" fillId="32" borderId="0" xfId="0" applyNumberFormat="1" applyFont="1" applyFill="1" applyAlignment="1">
      <alignment horizontal="center" wrapText="1"/>
    </xf>
    <xf numFmtId="2" fontId="39" fillId="32" borderId="0" xfId="0" applyNumberFormat="1" applyFont="1" applyFill="1" applyAlignment="1">
      <alignment horizontal="center" wrapText="1"/>
    </xf>
    <xf numFmtId="1" fontId="39" fillId="32" borderId="0" xfId="0" applyNumberFormat="1" applyFont="1" applyFill="1" applyAlignment="1">
      <alignment horizontal="left" wrapText="1"/>
    </xf>
    <xf numFmtId="0" fontId="14" fillId="9" borderId="15" xfId="0" applyFont="1" applyFill="1" applyBorder="1" applyAlignment="1">
      <alignment horizontal="right" vertical="center" wrapText="1" indent="1" readingOrder="1"/>
    </xf>
    <xf numFmtId="9" fontId="22" fillId="9" borderId="17" xfId="0" applyNumberFormat="1" applyFont="1" applyFill="1" applyBorder="1" applyAlignment="1">
      <alignment horizontal="right" vertical="center" wrapText="1" indent="1" readingOrder="1"/>
    </xf>
    <xf numFmtId="170" fontId="37" fillId="9" borderId="15" xfId="0" applyNumberFormat="1" applyFont="1" applyFill="1" applyBorder="1" applyAlignment="1">
      <alignment horizontal="right" vertical="center" wrapText="1" indent="1" readingOrder="1"/>
    </xf>
    <xf numFmtId="0" fontId="42" fillId="6" borderId="0" xfId="0" applyFont="1" applyFill="1" applyAlignment="1"/>
    <xf numFmtId="0" fontId="43" fillId="2" borderId="0" xfId="0" applyFont="1" applyFill="1" applyBorder="1" applyAlignment="1">
      <alignment horizontal="left" vertical="center" wrapText="1" indent="1"/>
    </xf>
    <xf numFmtId="0" fontId="43" fillId="2" borderId="0" xfId="0" applyFont="1" applyFill="1" applyBorder="1" applyAlignment="1">
      <alignment horizontal="left" vertical="center" indent="1"/>
    </xf>
    <xf numFmtId="0" fontId="44" fillId="32" borderId="0" xfId="0" applyFont="1" applyFill="1" applyAlignment="1">
      <alignment horizontal="left" vertical="center"/>
    </xf>
    <xf numFmtId="0" fontId="45" fillId="32" borderId="0" xfId="0" applyFont="1" applyFill="1" applyAlignment="1">
      <alignment horizontal="left"/>
    </xf>
    <xf numFmtId="0" fontId="1" fillId="0" borderId="0" xfId="0" applyFont="1" applyAlignment="1"/>
    <xf numFmtId="1" fontId="47" fillId="30" borderId="0" xfId="0" applyNumberFormat="1" applyFont="1" applyFill="1" applyAlignment="1">
      <alignment horizontal="center" vertical="center"/>
    </xf>
    <xf numFmtId="1" fontId="47" fillId="29" borderId="0" xfId="0" applyNumberFormat="1" applyFont="1" applyFill="1" applyAlignment="1">
      <alignment horizontal="center" vertical="center"/>
    </xf>
    <xf numFmtId="0" fontId="47" fillId="32" borderId="0" xfId="0" applyFont="1" applyFill="1" applyAlignment="1">
      <alignment vertical="center"/>
    </xf>
    <xf numFmtId="0" fontId="46" fillId="6" borderId="0" xfId="0" applyFont="1" applyFill="1" applyAlignment="1">
      <alignment vertical="center"/>
    </xf>
    <xf numFmtId="1" fontId="47" fillId="6" borderId="0" xfId="0" applyNumberFormat="1" applyFont="1" applyFill="1" applyAlignment="1">
      <alignment horizontal="center" vertical="center"/>
    </xf>
    <xf numFmtId="0" fontId="47" fillId="6" borderId="0" xfId="0" applyFont="1" applyFill="1" applyAlignment="1">
      <alignment vertical="center"/>
    </xf>
    <xf numFmtId="0" fontId="47" fillId="32" borderId="0" xfId="0" applyFont="1" applyFill="1" applyAlignment="1"/>
    <xf numFmtId="0" fontId="47" fillId="29" borderId="32" xfId="0" applyFont="1" applyFill="1" applyBorder="1" applyAlignment="1">
      <alignment horizontal="center" vertical="center" wrapText="1"/>
    </xf>
    <xf numFmtId="0" fontId="47" fillId="30" borderId="0" xfId="0" applyFont="1" applyFill="1" applyAlignment="1">
      <alignment horizontal="center" vertical="center" wrapText="1"/>
    </xf>
    <xf numFmtId="0" fontId="48" fillId="31" borderId="0" xfId="0" applyFont="1" applyFill="1" applyAlignment="1">
      <alignment horizontal="center" vertical="center" wrapText="1"/>
    </xf>
    <xf numFmtId="0" fontId="47" fillId="32" borderId="42" xfId="0" applyFont="1" applyFill="1" applyBorder="1" applyAlignment="1">
      <alignment horizontal="left" vertical="center" wrapText="1"/>
    </xf>
    <xf numFmtId="168" fontId="47" fillId="32" borderId="42" xfId="0" applyNumberFormat="1" applyFont="1" applyFill="1" applyBorder="1" applyAlignment="1">
      <alignment horizontal="left" vertical="center" wrapText="1"/>
    </xf>
    <xf numFmtId="2" fontId="47" fillId="32" borderId="42" xfId="0" applyNumberFormat="1" applyFont="1" applyFill="1" applyBorder="1" applyAlignment="1">
      <alignment horizontal="left" vertical="center" wrapText="1"/>
    </xf>
    <xf numFmtId="1" fontId="47" fillId="32" borderId="42" xfId="0" applyNumberFormat="1" applyFont="1" applyFill="1" applyBorder="1" applyAlignment="1">
      <alignment horizontal="left" vertical="center" wrapText="1"/>
    </xf>
    <xf numFmtId="0" fontId="47" fillId="32" borderId="41" xfId="0" applyFont="1" applyFill="1" applyBorder="1" applyAlignment="1">
      <alignment horizontal="left" vertical="center" wrapText="1"/>
    </xf>
    <xf numFmtId="168" fontId="47" fillId="32" borderId="41" xfId="0" applyNumberFormat="1" applyFont="1" applyFill="1" applyBorder="1" applyAlignment="1">
      <alignment horizontal="left" vertical="center" wrapText="1"/>
    </xf>
    <xf numFmtId="2" fontId="47" fillId="32" borderId="41" xfId="0" applyNumberFormat="1" applyFont="1" applyFill="1" applyBorder="1" applyAlignment="1">
      <alignment horizontal="left" vertical="center" wrapText="1"/>
    </xf>
    <xf numFmtId="1" fontId="47" fillId="32" borderId="41" xfId="0" applyNumberFormat="1" applyFont="1" applyFill="1" applyBorder="1" applyAlignment="1">
      <alignment horizontal="left" vertical="center" wrapText="1"/>
    </xf>
    <xf numFmtId="0" fontId="47" fillId="32" borderId="0" xfId="0" applyFont="1" applyFill="1" applyAlignment="1">
      <alignment horizontal="left" wrapText="1"/>
    </xf>
    <xf numFmtId="168" fontId="47" fillId="32" borderId="0" xfId="0" applyNumberFormat="1" applyFont="1" applyFill="1" applyAlignment="1">
      <alignment horizontal="center" wrapText="1"/>
    </xf>
    <xf numFmtId="0" fontId="47" fillId="32" borderId="0" xfId="0" applyFont="1" applyFill="1" applyAlignment="1">
      <alignment horizontal="center" wrapText="1"/>
    </xf>
    <xf numFmtId="168" fontId="47" fillId="32" borderId="0" xfId="0" applyNumberFormat="1" applyFont="1" applyFill="1" applyAlignment="1">
      <alignment horizontal="right" wrapText="1"/>
    </xf>
    <xf numFmtId="2" fontId="47" fillId="32" borderId="0" xfId="0" applyNumberFormat="1" applyFont="1" applyFill="1" applyAlignment="1">
      <alignment horizontal="center" wrapText="1"/>
    </xf>
    <xf numFmtId="1" fontId="47" fillId="32" borderId="0" xfId="0" applyNumberFormat="1" applyFont="1" applyFill="1" applyAlignment="1">
      <alignment horizontal="center" wrapText="1"/>
    </xf>
    <xf numFmtId="0" fontId="39" fillId="31" borderId="24" xfId="0" applyFont="1" applyFill="1" applyBorder="1" applyAlignment="1">
      <alignment horizontal="center" vertical="center" wrapText="1"/>
    </xf>
    <xf numFmtId="168" fontId="47" fillId="32" borderId="41" xfId="0" applyNumberFormat="1" applyFont="1" applyFill="1" applyBorder="1" applyAlignment="1">
      <alignment horizontal="right" wrapText="1"/>
    </xf>
    <xf numFmtId="1" fontId="47" fillId="32" borderId="41" xfId="0" applyNumberFormat="1" applyFont="1" applyFill="1" applyBorder="1" applyAlignment="1">
      <alignment horizontal="center" wrapText="1"/>
    </xf>
    <xf numFmtId="2" fontId="47" fillId="32" borderId="41" xfId="0" applyNumberFormat="1" applyFont="1" applyFill="1" applyBorder="1" applyAlignment="1">
      <alignment horizontal="center" wrapText="1"/>
    </xf>
    <xf numFmtId="1" fontId="47" fillId="32" borderId="41" xfId="0" applyNumberFormat="1" applyFont="1" applyFill="1" applyBorder="1" applyAlignment="1">
      <alignment horizontal="left" wrapText="1"/>
    </xf>
    <xf numFmtId="0" fontId="44" fillId="32" borderId="0" xfId="0" applyNumberFormat="1" applyFont="1" applyFill="1" applyAlignment="1">
      <alignment horizontal="left" vertical="center"/>
    </xf>
    <xf numFmtId="0" fontId="40" fillId="32" borderId="0" xfId="0" applyNumberFormat="1" applyFont="1" applyFill="1" applyAlignment="1">
      <alignment horizontal="left" vertical="center"/>
    </xf>
    <xf numFmtId="0" fontId="41" fillId="32" borderId="0" xfId="0" applyNumberFormat="1" applyFont="1" applyFill="1" applyAlignment="1">
      <alignment horizontal="right" vertical="center"/>
    </xf>
    <xf numFmtId="0" fontId="41" fillId="32" borderId="0" xfId="0" applyNumberFormat="1" applyFont="1" applyFill="1" applyAlignment="1">
      <alignment horizontal="left" vertical="center"/>
    </xf>
    <xf numFmtId="0" fontId="41" fillId="32" borderId="0" xfId="0" applyNumberFormat="1" applyFont="1" applyFill="1" applyAlignment="1">
      <alignment vertical="center"/>
    </xf>
    <xf numFmtId="0" fontId="41" fillId="32" borderId="0" xfId="0" applyNumberFormat="1" applyFont="1" applyFill="1" applyAlignment="1">
      <alignment horizontal="center" vertical="center"/>
    </xf>
    <xf numFmtId="0" fontId="47" fillId="6" borderId="41" xfId="0" applyNumberFormat="1" applyFont="1" applyFill="1" applyBorder="1" applyAlignment="1">
      <alignment horizontal="center" wrapText="1"/>
    </xf>
    <xf numFmtId="0" fontId="47" fillId="32" borderId="41" xfId="0" applyNumberFormat="1" applyFont="1" applyFill="1" applyBorder="1" applyAlignment="1">
      <alignment horizontal="left" wrapText="1"/>
    </xf>
    <xf numFmtId="0" fontId="38" fillId="32" borderId="41" xfId="0" applyNumberFormat="1" applyFont="1" applyFill="1" applyBorder="1" applyAlignment="1">
      <alignment horizontal="center" wrapText="1"/>
    </xf>
    <xf numFmtId="0" fontId="47" fillId="32" borderId="41" xfId="0" applyNumberFormat="1" applyFont="1" applyFill="1" applyBorder="1" applyAlignment="1">
      <alignment wrapText="1"/>
    </xf>
    <xf numFmtId="0" fontId="47" fillId="32" borderId="41" xfId="0" applyNumberFormat="1" applyFont="1" applyFill="1" applyBorder="1" applyAlignment="1">
      <alignment horizontal="center" wrapText="1"/>
    </xf>
    <xf numFmtId="0" fontId="38" fillId="32" borderId="41" xfId="0" applyNumberFormat="1" applyFont="1" applyFill="1" applyBorder="1" applyAlignment="1">
      <alignment horizontal="left" wrapText="1"/>
    </xf>
    <xf numFmtId="0" fontId="38" fillId="32" borderId="0" xfId="0" applyNumberFormat="1" applyFont="1" applyFill="1" applyAlignment="1">
      <alignment horizontal="center" wrapText="1"/>
    </xf>
    <xf numFmtId="0" fontId="38" fillId="32" borderId="0" xfId="0" applyNumberFormat="1" applyFont="1" applyFill="1" applyAlignment="1">
      <alignment wrapText="1"/>
    </xf>
    <xf numFmtId="0" fontId="39" fillId="32" borderId="0" xfId="0" applyNumberFormat="1" applyFont="1" applyFill="1" applyAlignment="1">
      <alignment wrapText="1"/>
    </xf>
    <xf numFmtId="0" fontId="39" fillId="32" borderId="0" xfId="0" applyNumberFormat="1" applyFont="1" applyFill="1" applyAlignment="1">
      <alignment horizontal="center" wrapText="1"/>
    </xf>
    <xf numFmtId="0" fontId="38" fillId="32" borderId="0" xfId="0" applyNumberFormat="1" applyFont="1" applyFill="1" applyAlignment="1">
      <alignment horizontal="left" wrapText="1"/>
    </xf>
    <xf numFmtId="0" fontId="47" fillId="31" borderId="24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6" borderId="0" xfId="0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47" fillId="6" borderId="42" xfId="0" applyNumberFormat="1" applyFont="1" applyFill="1" applyBorder="1" applyAlignment="1">
      <alignment horizontal="center" wrapText="1"/>
    </xf>
    <xf numFmtId="0" fontId="47" fillId="32" borderId="42" xfId="0" applyNumberFormat="1" applyFont="1" applyFill="1" applyBorder="1" applyAlignment="1">
      <alignment horizontal="left" wrapText="1"/>
    </xf>
    <xf numFmtId="168" fontId="47" fillId="32" borderId="42" xfId="0" applyNumberFormat="1" applyFont="1" applyFill="1" applyBorder="1" applyAlignment="1">
      <alignment horizontal="right" wrapText="1"/>
    </xf>
    <xf numFmtId="0" fontId="38" fillId="32" borderId="42" xfId="0" applyNumberFormat="1" applyFont="1" applyFill="1" applyBorder="1" applyAlignment="1">
      <alignment horizontal="center" wrapText="1"/>
    </xf>
    <xf numFmtId="1" fontId="47" fillId="32" borderId="42" xfId="0" applyNumberFormat="1" applyFont="1" applyFill="1" applyBorder="1" applyAlignment="1">
      <alignment horizontal="center" wrapText="1"/>
    </xf>
    <xf numFmtId="0" fontId="47" fillId="32" borderId="42" xfId="0" applyNumberFormat="1" applyFont="1" applyFill="1" applyBorder="1" applyAlignment="1">
      <alignment wrapText="1"/>
    </xf>
    <xf numFmtId="2" fontId="47" fillId="32" borderId="42" xfId="0" applyNumberFormat="1" applyFont="1" applyFill="1" applyBorder="1" applyAlignment="1">
      <alignment horizontal="center" wrapText="1"/>
    </xf>
    <xf numFmtId="1" fontId="47" fillId="32" borderId="42" xfId="0" applyNumberFormat="1" applyFont="1" applyFill="1" applyBorder="1" applyAlignment="1">
      <alignment horizontal="left" wrapText="1"/>
    </xf>
    <xf numFmtId="0" fontId="47" fillId="32" borderId="42" xfId="0" applyNumberFormat="1" applyFont="1" applyFill="1" applyBorder="1" applyAlignment="1">
      <alignment horizontal="center" wrapText="1"/>
    </xf>
    <xf numFmtId="0" fontId="38" fillId="32" borderId="42" xfId="0" applyNumberFormat="1" applyFont="1" applyFill="1" applyBorder="1" applyAlignment="1">
      <alignment horizontal="left" wrapText="1"/>
    </xf>
    <xf numFmtId="0" fontId="47" fillId="31" borderId="24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/>
    <xf numFmtId="0" fontId="49" fillId="33" borderId="0" xfId="0" applyNumberFormat="1" applyFont="1" applyFill="1" applyAlignment="1">
      <alignment horizontal="center"/>
    </xf>
    <xf numFmtId="1" fontId="14" fillId="6" borderId="32" xfId="0" applyNumberFormat="1" applyFont="1" applyFill="1" applyBorder="1" applyAlignment="1">
      <alignment horizontal="right" vertical="center" indent="1"/>
    </xf>
    <xf numFmtId="0" fontId="4" fillId="6" borderId="37" xfId="0" applyFont="1" applyFill="1" applyBorder="1" applyAlignment="1">
      <alignment vertical="center"/>
    </xf>
    <xf numFmtId="0" fontId="39" fillId="16" borderId="0" xfId="0" applyFont="1" applyFill="1" applyAlignment="1">
      <alignment horizontal="center" vertical="center"/>
    </xf>
    <xf numFmtId="0" fontId="4" fillId="26" borderId="0" xfId="0" applyFont="1" applyFill="1" applyBorder="1" applyAlignment="1">
      <alignment horizontal="left" vertical="center" indent="1"/>
    </xf>
    <xf numFmtId="0" fontId="22" fillId="9" borderId="16" xfId="0" applyFont="1" applyFill="1" applyBorder="1" applyAlignment="1">
      <alignment horizontal="right" vertical="center" wrapText="1" indent="1" readingOrder="1"/>
    </xf>
    <xf numFmtId="0" fontId="22" fillId="9" borderId="5" xfId="0" applyFont="1" applyFill="1" applyBorder="1" applyAlignment="1">
      <alignment horizontal="right" vertical="center" wrapText="1" indent="1" readingOrder="1"/>
    </xf>
    <xf numFmtId="0" fontId="43" fillId="6" borderId="0" xfId="0" applyFont="1" applyFill="1" applyAlignment="1">
      <alignment horizontal="left" vertical="center" wrapText="1" indent="1"/>
    </xf>
    <xf numFmtId="0" fontId="8" fillId="6" borderId="0" xfId="0" applyFont="1" applyFill="1" applyAlignment="1">
      <alignment horizontal="left" vertical="center" wrapText="1"/>
    </xf>
    <xf numFmtId="0" fontId="1" fillId="15" borderId="24" xfId="0" applyFont="1" applyFill="1" applyBorder="1" applyAlignment="1">
      <alignment horizontal="center" vertical="center"/>
    </xf>
    <xf numFmtId="0" fontId="7" fillId="15" borderId="24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5" fillId="6" borderId="0" xfId="0" applyFont="1" applyFill="1" applyBorder="1" applyAlignment="1">
      <alignment horizontal="left" vertical="center" indent="1"/>
    </xf>
    <xf numFmtId="0" fontId="13" fillId="2" borderId="0" xfId="0" applyFont="1" applyFill="1" applyBorder="1" applyAlignment="1">
      <alignment horizontal="center" vertical="center"/>
    </xf>
    <xf numFmtId="0" fontId="19" fillId="11" borderId="3" xfId="0" applyFont="1" applyFill="1" applyBorder="1" applyAlignment="1">
      <alignment horizontal="center" vertical="center" wrapText="1"/>
    </xf>
    <xf numFmtId="0" fontId="19" fillId="7" borderId="3" xfId="0" applyFont="1" applyFill="1" applyBorder="1"/>
    <xf numFmtId="0" fontId="13" fillId="2" borderId="0" xfId="0" applyFont="1" applyFill="1" applyAlignment="1">
      <alignment horizontal="center"/>
    </xf>
    <xf numFmtId="0" fontId="19" fillId="11" borderId="3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4" fillId="26" borderId="3" xfId="0" applyFont="1" applyFill="1" applyBorder="1" applyAlignment="1">
      <alignment horizontal="center" vertical="center" wrapText="1"/>
    </xf>
    <xf numFmtId="0" fontId="33" fillId="7" borderId="6" xfId="0" applyFont="1" applyFill="1" applyBorder="1" applyAlignment="1">
      <alignment horizontal="center" vertical="center" wrapText="1" readingOrder="1"/>
    </xf>
    <xf numFmtId="0" fontId="33" fillId="7" borderId="8" xfId="0" applyFont="1" applyFill="1" applyBorder="1" applyAlignment="1">
      <alignment horizontal="center" vertical="center" wrapText="1" readingOrder="1"/>
    </xf>
    <xf numFmtId="0" fontId="33" fillId="7" borderId="38" xfId="0" applyFont="1" applyFill="1" applyBorder="1" applyAlignment="1">
      <alignment horizontal="center" vertical="center" wrapText="1" readingOrder="1"/>
    </xf>
    <xf numFmtId="0" fontId="33" fillId="7" borderId="4" xfId="0" applyFont="1" applyFill="1" applyBorder="1" applyAlignment="1">
      <alignment horizontal="center" vertical="center" wrapText="1" readingOrder="1"/>
    </xf>
    <xf numFmtId="0" fontId="33" fillId="7" borderId="13" xfId="0" applyFont="1" applyFill="1" applyBorder="1" applyAlignment="1">
      <alignment horizontal="center" vertical="center" wrapText="1" readingOrder="1"/>
    </xf>
    <xf numFmtId="0" fontId="33" fillId="7" borderId="3" xfId="0" applyFont="1" applyFill="1" applyBorder="1" applyAlignment="1">
      <alignment horizontal="center" vertical="center" wrapText="1" readingOrder="1"/>
    </xf>
    <xf numFmtId="0" fontId="14" fillId="7" borderId="10" xfId="0" applyFont="1" applyFill="1" applyBorder="1" applyAlignment="1">
      <alignment horizontal="left" vertical="center" wrapText="1" indent="1"/>
    </xf>
    <xf numFmtId="0" fontId="14" fillId="7" borderId="12" xfId="0" applyFont="1" applyFill="1" applyBorder="1" applyAlignment="1">
      <alignment horizontal="left" vertical="center" wrapText="1" indent="1"/>
    </xf>
    <xf numFmtId="0" fontId="14" fillId="7" borderId="14" xfId="0" applyFont="1" applyFill="1" applyBorder="1" applyAlignment="1">
      <alignment horizontal="left" vertical="center" wrapText="1" indent="1"/>
    </xf>
    <xf numFmtId="0" fontId="4" fillId="6" borderId="0" xfId="0" applyFont="1" applyFill="1" applyBorder="1" applyAlignment="1">
      <alignment horizontal="center" vertical="center" wrapText="1"/>
    </xf>
    <xf numFmtId="0" fontId="4" fillId="26" borderId="3" xfId="0" applyFont="1" applyFill="1" applyBorder="1" applyAlignment="1">
      <alignment vertical="center"/>
    </xf>
    <xf numFmtId="0" fontId="14" fillId="7" borderId="13" xfId="0" applyFont="1" applyFill="1" applyBorder="1" applyAlignment="1">
      <alignment horizontal="left" vertical="center" wrapText="1" indent="1"/>
    </xf>
    <xf numFmtId="0" fontId="14" fillId="7" borderId="3" xfId="0" applyFont="1" applyFill="1" applyBorder="1" applyAlignment="1">
      <alignment horizontal="left" vertical="center" wrapText="1" indent="1"/>
    </xf>
    <xf numFmtId="0" fontId="14" fillId="7" borderId="0" xfId="0" applyFont="1" applyFill="1" applyBorder="1" applyAlignment="1">
      <alignment horizontal="left" vertical="center" indent="1"/>
    </xf>
    <xf numFmtId="0" fontId="22" fillId="7" borderId="14" xfId="0" applyFont="1" applyFill="1" applyBorder="1" applyAlignment="1">
      <alignment horizontal="right" vertical="center" wrapText="1" indent="1" readingOrder="1"/>
    </xf>
    <xf numFmtId="0" fontId="22" fillId="7" borderId="6" xfId="0" applyFont="1" applyFill="1" applyBorder="1" applyAlignment="1">
      <alignment horizontal="right" vertical="center" wrapText="1" indent="1" readingOrder="1"/>
    </xf>
    <xf numFmtId="0" fontId="4" fillId="26" borderId="16" xfId="0" applyFont="1" applyFill="1" applyBorder="1" applyAlignment="1">
      <alignment horizontal="center" vertical="center" wrapText="1"/>
    </xf>
    <xf numFmtId="0" fontId="4" fillId="26" borderId="5" xfId="0" applyFont="1" applyFill="1" applyBorder="1" applyAlignment="1">
      <alignment horizontal="center" vertical="center" wrapText="1"/>
    </xf>
    <xf numFmtId="0" fontId="4" fillId="26" borderId="17" xfId="0" applyFont="1" applyFill="1" applyBorder="1" applyAlignment="1">
      <alignment horizontal="center" vertical="center" wrapText="1"/>
    </xf>
    <xf numFmtId="0" fontId="14" fillId="9" borderId="9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38" xfId="0" applyFont="1" applyFill="1" applyBorder="1" applyAlignment="1">
      <alignment horizontal="center" vertical="center"/>
    </xf>
    <xf numFmtId="0" fontId="33" fillId="26" borderId="3" xfId="0" applyFont="1" applyFill="1" applyBorder="1" applyAlignment="1">
      <alignment horizontal="center" vertical="center" wrapText="1" readingOrder="1"/>
    </xf>
    <xf numFmtId="0" fontId="33" fillId="26" borderId="8" xfId="0" applyFont="1" applyFill="1" applyBorder="1" applyAlignment="1">
      <alignment horizontal="center" vertical="center" wrapText="1" readingOrder="1"/>
    </xf>
  </cellXfs>
  <cellStyles count="4"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44"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006100"/>
      </font>
      <fill>
        <patternFill patternType="solid">
          <fgColor indexed="64"/>
          <bgColor rgb="FFF2F2F2"/>
        </patternFill>
      </fill>
    </dxf>
    <dxf>
      <font>
        <color rgb="FF9C5700"/>
      </font>
      <fill>
        <patternFill patternType="solid">
          <fgColor indexed="64"/>
          <bgColor rgb="FFF2F2F2"/>
        </patternFill>
      </fill>
    </dxf>
    <dxf>
      <font>
        <color rgb="FFCC0000"/>
      </font>
      <fill>
        <patternFill patternType="solid">
          <fgColor indexed="64"/>
          <bgColor rgb="FFF2F2F2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theme="7" tint="0.79998168889431442"/>
      </font>
    </dxf>
    <dxf>
      <numFmt numFmtId="1" formatCode="0"/>
    </dxf>
    <dxf>
      <numFmt numFmtId="1" formatCode="0"/>
    </dxf>
    <dxf>
      <numFmt numFmtId="1" formatCode="0"/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C00000"/>
      </font>
      <fill>
        <patternFill patternType="solid">
          <fgColor indexed="64"/>
          <bgColor rgb="FFFFCCCC"/>
        </patternFill>
      </fill>
    </dxf>
    <dxf>
      <font>
        <color rgb="FFC00000"/>
      </font>
      <fill>
        <patternFill patternType="solid">
          <fgColor indexed="64"/>
          <bgColor rgb="FFFFCCCC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CC0000"/>
      </font>
      <fill>
        <patternFill patternType="solid">
          <fgColor indexed="64"/>
          <bgColor rgb="FFFFCCCC"/>
        </patternFill>
      </fill>
    </dxf>
    <dxf>
      <fill>
        <patternFill patternType="solid">
          <fgColor indexed="64"/>
          <bgColor rgb="FFDDEBF7"/>
        </patternFill>
      </fill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FFF2CC"/>
      </font>
    </dxf>
    <dxf>
      <font>
        <color rgb="FFDDEBF7"/>
      </font>
    </dxf>
    <dxf>
      <font>
        <color rgb="FFF2F2F2"/>
      </font>
    </dxf>
    <dxf>
      <font>
        <color rgb="FFDDEBF7"/>
      </font>
    </dxf>
    <dxf>
      <font>
        <color rgb="FFCC0000"/>
      </font>
      <fill>
        <patternFill patternType="solid">
          <fgColor indexed="64"/>
          <bgColor rgb="FFFFCCCC"/>
        </patternFill>
      </fill>
    </dxf>
    <dxf>
      <font>
        <color rgb="FF80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C5E0B4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9E9E9"/>
      <rgbColor rgb="FFC6EFCE"/>
      <rgbColor rgb="FFFFEB9C"/>
      <rgbColor rgb="FF99CCFF"/>
      <rgbColor rgb="FFFFC7CE"/>
      <rgbColor rgb="FFCC99FF"/>
      <rgbColor rgb="FFEFD173"/>
      <rgbColor rgb="FF4472C4"/>
      <rgbColor rgb="FF33CCCC"/>
      <rgbColor rgb="FF99CC00"/>
      <rgbColor rgb="FFFFCC00"/>
      <rgbColor rgb="FFFF9900"/>
      <rgbColor rgb="FFED7D31"/>
      <rgbColor rgb="FF7F7F7F"/>
      <rgbColor rgb="FFA6A6A6"/>
      <rgbColor rgb="FF003366"/>
      <rgbColor rgb="FF339966"/>
      <rgbColor rgb="FF003300"/>
      <rgbColor rgb="FF333300"/>
      <rgbColor rgb="FF9C5700"/>
      <rgbColor rgb="FF993366"/>
      <rgbColor rgb="FF333399"/>
      <rgbColor rgb="FF1F1F1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  <color rgb="FFFFCCCC"/>
      <color rgb="FF5A82B5"/>
      <color rgb="FFFFF6DD"/>
      <color rgb="FF8000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62BCEB-85FE-4999-8B6B-90D52146BF52}">
  <we:reference id="wa200010215" version="2.0.0.0" store="ru-RU" storeType="OMEX"/>
  <we:alternateReferences>
    <we:reference id="wa200010215" version="2.0.0.0" store="WA200010215" storeType="OMEX"/>
  </we:alternateReferences>
  <we:properties>
    <we:property name="bps.codex_control.document_id" value="&quot;ce296b6b-9117-4596-af04-95a2ed12fd1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B3D9-39D0-4892-9D91-85027C753295}">
  <sheetPr codeName="Лист3">
    <tabColor theme="9" tint="0.59999389629810485"/>
  </sheetPr>
  <dimension ref="A1:G10"/>
  <sheetViews>
    <sheetView tabSelected="1" zoomScale="130" zoomScaleNormal="130" workbookViewId="0">
      <selection activeCell="B10" sqref="B10:D10"/>
    </sheetView>
  </sheetViews>
  <sheetFormatPr defaultRowHeight="14.25" x14ac:dyDescent="0.2"/>
  <cols>
    <col min="1" max="1" width="26" style="6" bestFit="1" customWidth="1"/>
    <col min="2" max="4" width="11.42578125" style="6" customWidth="1"/>
    <col min="5" max="5" width="95.28515625" style="6" customWidth="1"/>
    <col min="6" max="6" width="11.42578125" style="6" customWidth="1"/>
    <col min="7" max="7" width="26" style="6" bestFit="1" customWidth="1"/>
    <col min="8" max="16384" width="9.140625" style="6"/>
  </cols>
  <sheetData>
    <row r="1" spans="1:7" ht="2.25" customHeight="1" x14ac:dyDescent="0.2">
      <c r="B1" s="509"/>
      <c r="C1" s="509"/>
      <c r="D1" s="509"/>
      <c r="E1" s="509"/>
      <c r="G1" s="433"/>
    </row>
    <row r="2" spans="1:7" ht="30" customHeight="1" thickBot="1" x14ac:dyDescent="0.25">
      <c r="A2" s="256" t="s">
        <v>230</v>
      </c>
      <c r="B2" s="257" t="s">
        <v>17</v>
      </c>
      <c r="C2" s="259" t="s">
        <v>51</v>
      </c>
      <c r="D2" s="258" t="s">
        <v>16</v>
      </c>
      <c r="E2" s="76" t="s">
        <v>235</v>
      </c>
      <c r="F2" s="513" t="e" vm="1">
        <v>#VALUE!</v>
      </c>
      <c r="G2" s="508" t="s">
        <v>559</v>
      </c>
    </row>
    <row r="3" spans="1:7" ht="30" customHeight="1" thickTop="1" thickBot="1" x14ac:dyDescent="0.25">
      <c r="A3" s="256" t="s">
        <v>228</v>
      </c>
      <c r="B3" s="511" t="s">
        <v>236</v>
      </c>
      <c r="C3" s="511"/>
      <c r="D3" s="511"/>
      <c r="E3" s="2" t="s">
        <v>137</v>
      </c>
      <c r="F3" s="513"/>
      <c r="G3" s="508"/>
    </row>
    <row r="4" spans="1:7" ht="60" customHeight="1" thickTop="1" x14ac:dyDescent="0.2">
      <c r="A4" s="3" t="s">
        <v>52</v>
      </c>
      <c r="B4" s="260" t="s">
        <v>238</v>
      </c>
      <c r="C4" s="263" t="s">
        <v>238</v>
      </c>
      <c r="D4" s="5" t="s">
        <v>238</v>
      </c>
      <c r="E4" s="2" t="s">
        <v>231</v>
      </c>
      <c r="F4" s="6" t="e" vm="2">
        <v>#VALUE!</v>
      </c>
      <c r="G4" s="434" t="s">
        <v>52</v>
      </c>
    </row>
    <row r="5" spans="1:7" ht="60" customHeight="1" thickBot="1" x14ac:dyDescent="0.25">
      <c r="A5" s="3" t="s">
        <v>50</v>
      </c>
      <c r="B5" s="261" t="s">
        <v>47</v>
      </c>
      <c r="C5" s="264" t="s">
        <v>47</v>
      </c>
      <c r="D5" s="262" t="s">
        <v>238</v>
      </c>
      <c r="E5" s="2" t="s">
        <v>226</v>
      </c>
      <c r="F5" s="6" t="e" vm="3">
        <v>#VALUE!</v>
      </c>
      <c r="G5" s="434" t="s">
        <v>50</v>
      </c>
    </row>
    <row r="6" spans="1:7" ht="30" customHeight="1" thickTop="1" thickBot="1" x14ac:dyDescent="0.25">
      <c r="A6" s="256" t="s">
        <v>228</v>
      </c>
      <c r="B6" s="510" t="s">
        <v>237</v>
      </c>
      <c r="C6" s="510"/>
      <c r="D6" s="510"/>
      <c r="E6" s="76" t="s">
        <v>227</v>
      </c>
      <c r="G6" s="435"/>
    </row>
    <row r="7" spans="1:7" ht="60" customHeight="1" thickTop="1" x14ac:dyDescent="0.2">
      <c r="A7" s="3" t="s">
        <v>49</v>
      </c>
      <c r="B7" s="260" t="s">
        <v>238</v>
      </c>
      <c r="C7" s="266" t="s">
        <v>47</v>
      </c>
      <c r="D7" s="265" t="s">
        <v>47</v>
      </c>
      <c r="E7" s="2" t="s">
        <v>234</v>
      </c>
      <c r="F7" s="6" t="e" vm="4">
        <v>#VALUE!</v>
      </c>
      <c r="G7" s="434" t="s">
        <v>49</v>
      </c>
    </row>
    <row r="8" spans="1:7" ht="60" customHeight="1" x14ac:dyDescent="0.2">
      <c r="A8" s="3" t="s">
        <v>53</v>
      </c>
      <c r="B8" s="267" t="s">
        <v>47</v>
      </c>
      <c r="C8" s="267" t="s">
        <v>47</v>
      </c>
      <c r="D8" s="4" t="s">
        <v>47</v>
      </c>
      <c r="E8" s="2" t="s">
        <v>232</v>
      </c>
      <c r="F8" s="6" t="e" vm="5">
        <v>#VALUE!</v>
      </c>
      <c r="G8" s="434" t="s">
        <v>53</v>
      </c>
    </row>
    <row r="9" spans="1:7" ht="60" customHeight="1" thickBot="1" x14ac:dyDescent="0.25">
      <c r="A9" s="3" t="s">
        <v>229</v>
      </c>
      <c r="B9" s="261" t="s">
        <v>47</v>
      </c>
      <c r="C9" s="268" t="s">
        <v>48</v>
      </c>
      <c r="D9" s="269" t="s">
        <v>48</v>
      </c>
      <c r="E9" s="2" t="s">
        <v>233</v>
      </c>
      <c r="F9" s="6" t="e" vm="6">
        <v>#VALUE!</v>
      </c>
      <c r="G9" s="434" t="s">
        <v>229</v>
      </c>
    </row>
    <row r="10" spans="1:7" ht="30" customHeight="1" thickTop="1" thickBot="1" x14ac:dyDescent="0.25">
      <c r="A10" s="1"/>
      <c r="B10" s="512" t="s">
        <v>136</v>
      </c>
      <c r="C10" s="512"/>
      <c r="D10" s="512"/>
      <c r="E10" s="76"/>
    </row>
  </sheetData>
  <mergeCells count="6">
    <mergeCell ref="G2:G3"/>
    <mergeCell ref="B1:E1"/>
    <mergeCell ref="B6:D6"/>
    <mergeCell ref="B3:D3"/>
    <mergeCell ref="B10:D10"/>
    <mergeCell ref="F2:F3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D307C-534B-4F7C-9666-8871EF90CE63}">
  <sheetPr codeName="Лист5">
    <tabColor theme="9" tint="0.59999389629810485"/>
  </sheetPr>
  <dimension ref="A1:V67"/>
  <sheetViews>
    <sheetView zoomScaleNormal="100" workbookViewId="0">
      <pane ySplit="3" topLeftCell="A4" activePane="bottomLeft" state="frozen"/>
      <selection pane="bottomLeft" activeCell="D2" sqref="D2"/>
    </sheetView>
  </sheetViews>
  <sheetFormatPr defaultRowHeight="14.25" x14ac:dyDescent="0.25"/>
  <cols>
    <col min="1" max="1" width="66" style="7" customWidth="1"/>
    <col min="2" max="2" width="7.140625" style="8" bestFit="1" customWidth="1"/>
    <col min="3" max="3" width="6.5703125" style="11" bestFit="1" customWidth="1"/>
    <col min="4" max="4" width="11.42578125" style="173" customWidth="1"/>
    <col min="5" max="5" width="11.42578125" style="174" customWidth="1"/>
    <col min="6" max="6" width="11.42578125" style="270" customWidth="1"/>
    <col min="7" max="7" width="11.42578125" style="174" customWidth="1"/>
    <col min="8" max="8" width="11.42578125" style="175" customWidth="1"/>
    <col min="9" max="9" width="11.42578125" style="285" customWidth="1"/>
    <col min="10" max="10" width="11.42578125" style="175" customWidth="1"/>
    <col min="11" max="11" width="11.42578125" style="174" customWidth="1"/>
    <col min="12" max="12" width="11.42578125" style="270" customWidth="1"/>
    <col min="13" max="14" width="9.28515625" style="8" customWidth="1"/>
    <col min="15" max="15" width="9.28515625" style="92" customWidth="1"/>
    <col min="16" max="16384" width="9.140625" style="8"/>
  </cols>
  <sheetData>
    <row r="1" spans="1:22" ht="7.5" customHeight="1" x14ac:dyDescent="0.25"/>
    <row r="2" spans="1:22" ht="22.5" customHeight="1" x14ac:dyDescent="0.25">
      <c r="A2" s="7" t="s">
        <v>57</v>
      </c>
      <c r="B2" s="8" t="s">
        <v>515</v>
      </c>
      <c r="C2" s="11" t="s">
        <v>27</v>
      </c>
      <c r="D2" s="176">
        <v>120</v>
      </c>
      <c r="E2" s="177"/>
      <c r="F2" s="271"/>
      <c r="G2" s="177"/>
      <c r="K2" s="177"/>
      <c r="L2" s="271"/>
    </row>
    <row r="3" spans="1:22" s="14" customFormat="1" ht="37.5" customHeight="1" x14ac:dyDescent="0.25">
      <c r="A3" s="12" t="s">
        <v>60</v>
      </c>
      <c r="C3" s="15"/>
      <c r="D3" s="178" t="s">
        <v>17</v>
      </c>
      <c r="E3" s="179"/>
      <c r="F3" s="272"/>
      <c r="G3" s="179" t="s">
        <v>16</v>
      </c>
      <c r="H3" s="180"/>
      <c r="I3" s="286"/>
      <c r="J3" s="180" t="s">
        <v>51</v>
      </c>
      <c r="K3" s="179"/>
      <c r="L3" s="272"/>
      <c r="O3" s="93"/>
    </row>
    <row r="4" spans="1:22" ht="22.5" customHeight="1" x14ac:dyDescent="0.25">
      <c r="A4" s="7" t="s">
        <v>55</v>
      </c>
      <c r="B4" s="8" t="s">
        <v>516</v>
      </c>
      <c r="C4" s="11" t="s">
        <v>24</v>
      </c>
      <c r="D4" s="239">
        <v>7.5</v>
      </c>
      <c r="E4" s="182"/>
      <c r="F4" s="273"/>
      <c r="G4" s="243">
        <v>5.7</v>
      </c>
      <c r="J4" s="243">
        <v>6</v>
      </c>
      <c r="K4" s="182"/>
      <c r="L4" s="273"/>
    </row>
    <row r="5" spans="1:22" ht="22.5" customHeight="1" x14ac:dyDescent="0.25">
      <c r="A5" s="7" t="s">
        <v>217</v>
      </c>
      <c r="B5" s="8" t="s">
        <v>517</v>
      </c>
      <c r="C5" s="117" t="s">
        <v>31</v>
      </c>
      <c r="D5" s="240">
        <v>0.52</v>
      </c>
      <c r="G5" s="244">
        <v>0.02</v>
      </c>
      <c r="J5" s="244">
        <v>0.25</v>
      </c>
    </row>
    <row r="6" spans="1:22" ht="22.5" customHeight="1" thickBot="1" x14ac:dyDescent="0.3">
      <c r="A6" s="7" t="s">
        <v>56</v>
      </c>
      <c r="B6" s="8" t="s">
        <v>518</v>
      </c>
      <c r="C6" s="11" t="s">
        <v>25</v>
      </c>
      <c r="D6" s="241">
        <v>46</v>
      </c>
      <c r="E6" s="242"/>
      <c r="F6" s="271"/>
      <c r="G6" s="245">
        <v>540</v>
      </c>
      <c r="J6" s="245">
        <v>204</v>
      </c>
      <c r="K6" s="177"/>
      <c r="L6" s="271"/>
    </row>
    <row r="7" spans="1:22" ht="22.5" customHeight="1" x14ac:dyDescent="0.25">
      <c r="A7" s="7" t="s">
        <v>23</v>
      </c>
      <c r="B7" s="8" t="s">
        <v>519</v>
      </c>
      <c r="D7" s="239">
        <v>7.4</v>
      </c>
      <c r="E7" s="182"/>
      <c r="F7" s="273"/>
      <c r="G7" s="243">
        <v>1.9</v>
      </c>
      <c r="J7" s="243">
        <v>4.4000000000000004</v>
      </c>
      <c r="K7" s="182"/>
      <c r="L7" s="273"/>
    </row>
    <row r="8" spans="1:22" ht="22.5" customHeight="1" x14ac:dyDescent="0.25">
      <c r="A8" s="7" t="s">
        <v>215</v>
      </c>
      <c r="B8" s="8" t="s">
        <v>520</v>
      </c>
      <c r="C8" s="218" t="s">
        <v>182</v>
      </c>
      <c r="D8" s="183">
        <v>0.6</v>
      </c>
      <c r="E8" s="184">
        <f>IF(OR(D4=0, D4=""), "", D8 * (D4 + D45 + D49) / D4)</f>
        <v>0.61769200245760003</v>
      </c>
      <c r="F8" s="274"/>
      <c r="G8" s="246">
        <v>0.7</v>
      </c>
      <c r="H8" s="186"/>
      <c r="J8" s="251">
        <v>2</v>
      </c>
      <c r="K8" s="184">
        <f>IF(OR(J4=0, J4=""), "", J8 * (J4 + M45 + M49) / J4)</f>
        <v>2.0993599370340137</v>
      </c>
      <c r="L8" s="274"/>
    </row>
    <row r="9" spans="1:22" ht="22.5" customHeight="1" x14ac:dyDescent="0.25">
      <c r="A9" s="7" t="s">
        <v>216</v>
      </c>
      <c r="B9" s="8" t="s">
        <v>521</v>
      </c>
      <c r="C9" s="218" t="s">
        <v>182</v>
      </c>
      <c r="D9" s="187"/>
      <c r="E9" s="184">
        <f>IF(OR(E8="", D7=0, D7=""), "", (E8 * D7) / (E8 + D7))</f>
        <v>0.57010431640241999</v>
      </c>
      <c r="F9" s="274"/>
      <c r="G9" s="247">
        <f>(G8 * G7) / (G8 + G7)</f>
        <v>0.5115384615384615</v>
      </c>
      <c r="H9" s="186"/>
      <c r="J9" s="252"/>
      <c r="K9" s="184">
        <f>IF(OR(K8="", J7=0, J7=""), "", (K8 * J7) / (K8 + J7))</f>
        <v>1.4212451398968149</v>
      </c>
      <c r="L9" s="274"/>
    </row>
    <row r="10" spans="1:22" ht="37.5" customHeight="1" x14ac:dyDescent="0.25">
      <c r="A10" s="12" t="s">
        <v>28</v>
      </c>
      <c r="O10" s="94"/>
    </row>
    <row r="11" spans="1:22" ht="22.5" customHeight="1" x14ac:dyDescent="0.25">
      <c r="A11" s="7" t="s">
        <v>262</v>
      </c>
      <c r="B11" s="8" t="s">
        <v>522</v>
      </c>
      <c r="C11" s="11" t="s">
        <v>24</v>
      </c>
      <c r="D11" s="181"/>
      <c r="G11" s="214"/>
      <c r="J11" s="214"/>
      <c r="O11" s="94"/>
    </row>
    <row r="12" spans="1:22" ht="22.5" customHeight="1" x14ac:dyDescent="0.25">
      <c r="A12" s="7" t="s">
        <v>146</v>
      </c>
      <c r="B12" s="8" t="s">
        <v>339</v>
      </c>
      <c r="C12" s="11" t="s">
        <v>24</v>
      </c>
      <c r="D12" s="188">
        <f>IF(AND(ISNUMBER(D11), D11&gt;0), D11, D4 * 1.25)</f>
        <v>9.375</v>
      </c>
      <c r="E12" s="189" cm="1">
        <f t="array" ref="E12">GetPairedE24(D12, D13, 1)</f>
        <v>9.1</v>
      </c>
      <c r="F12" s="275">
        <f>(E12-D12)/D12</f>
        <v>-2.9333333333333371E-2</v>
      </c>
      <c r="G12" s="215">
        <f>IF(AND(ISNUMBER(G11), G11&gt;0), G11, G4 * 1.25)</f>
        <v>7.125</v>
      </c>
      <c r="H12" s="189" cm="1">
        <f t="array" ref="H12">GetPairedE24(G12, G13, 1)</f>
        <v>6.8</v>
      </c>
      <c r="I12" s="275">
        <f>(H12-G12)/G12</f>
        <v>-4.5614035087719322E-2</v>
      </c>
      <c r="J12" s="215">
        <f>IF(AND(ISNUMBER(J11), J11&gt;0), J11, J4 * 1.25)</f>
        <v>7.5</v>
      </c>
      <c r="K12" s="189" cm="1">
        <f t="array" ref="K12">GetPairedE24(J12, J13, 1)</f>
        <v>7.5</v>
      </c>
      <c r="L12" s="275">
        <f>(K12-J12)/J12</f>
        <v>0</v>
      </c>
    </row>
    <row r="13" spans="1:22" ht="22.5" customHeight="1" x14ac:dyDescent="0.25">
      <c r="A13" s="7" t="s">
        <v>145</v>
      </c>
      <c r="B13" s="8" t="s">
        <v>338</v>
      </c>
      <c r="C13" s="11" t="s">
        <v>32</v>
      </c>
      <c r="D13" s="188">
        <f>(D5 / D12^2) * 10^3</f>
        <v>5.9164444444444451</v>
      </c>
      <c r="E13" s="189" cm="1">
        <f t="array" ref="E13">GetPairedE24(D12, D13, 2)</f>
        <v>5.6</v>
      </c>
      <c r="F13" s="275">
        <f>(E13-D13)/D13</f>
        <v>-5.348557692307708E-2</v>
      </c>
      <c r="G13" s="215">
        <f>(G5 / G12^2) * 10^3</f>
        <v>0.39396737457679287</v>
      </c>
      <c r="H13" s="189" cm="1">
        <f t="array" ref="H13">GetPairedE24(G12, G13, 2)</f>
        <v>0.39</v>
      </c>
      <c r="I13" s="275">
        <f>(H13-G13)/G13</f>
        <v>-1.0070312499999999E-2</v>
      </c>
      <c r="J13" s="215">
        <f>(J5 / J12^2) * 10^3</f>
        <v>4.4444444444444446</v>
      </c>
      <c r="K13" s="189" cm="1">
        <f t="array" ref="K13">GetPairedE24(J12, J13, 2)</f>
        <v>4.3</v>
      </c>
      <c r="L13" s="275">
        <f>(K13-J13)/J13</f>
        <v>-3.2500000000000084E-2</v>
      </c>
    </row>
    <row r="14" spans="1:22" ht="22.5" customHeight="1" x14ac:dyDescent="0.25">
      <c r="A14" s="7" t="s">
        <v>113</v>
      </c>
      <c r="B14" s="8" t="s">
        <v>523</v>
      </c>
      <c r="C14" s="11" t="s">
        <v>27</v>
      </c>
      <c r="D14" s="190"/>
      <c r="E14" s="191" cm="1">
        <f t="array" ref="E14">CalcParallelResistorPower(D2, "Zobel", D4 / (2 * PI() * (D5 / 1000)), 0, D36)</f>
        <v>5</v>
      </c>
      <c r="F14" s="276">
        <f>MAX(F12:F13) - MIN(F12:F13)</f>
        <v>2.4152243589743709E-2</v>
      </c>
      <c r="G14" s="219"/>
      <c r="H14" s="191" cm="1">
        <f t="array" ref="H14">CalcParallelResistorPower(D2, "Zobel", G4 / (2 * PI() * (G5 / 1000)), G36, 'Справочные таблицы'!$P$14)</f>
        <v>5</v>
      </c>
      <c r="I14" s="276">
        <f>MAX(I12:I13) - MIN(I12:I13)</f>
        <v>3.5543722587719324E-2</v>
      </c>
      <c r="J14" s="219"/>
      <c r="K14" s="191" cm="1">
        <f t="array" ref="K14">CalcParallelResistorPower(D2, "Zobel", J4 / (2 * PI() * (J5 / 1000)), J36, M36)</f>
        <v>5</v>
      </c>
      <c r="L14" s="276">
        <f>MAX(L12:L13) - MIN(L12:L13)</f>
        <v>3.2500000000000084E-2</v>
      </c>
    </row>
    <row r="15" spans="1:22" ht="37.5" customHeight="1" x14ac:dyDescent="0.25">
      <c r="A15" s="12" t="s">
        <v>29</v>
      </c>
    </row>
    <row r="16" spans="1:22" s="294" customFormat="1" ht="22.5" customHeight="1" thickBot="1" x14ac:dyDescent="0.3">
      <c r="A16" s="7" t="s">
        <v>154</v>
      </c>
      <c r="B16" s="8" t="s">
        <v>524</v>
      </c>
      <c r="C16" s="11" t="s">
        <v>24</v>
      </c>
      <c r="D16" s="181">
        <v>25</v>
      </c>
      <c r="E16" s="174"/>
      <c r="F16" s="502"/>
      <c r="G16" s="214">
        <v>10</v>
      </c>
      <c r="H16" s="175"/>
      <c r="I16" s="285"/>
      <c r="J16" s="214">
        <v>18</v>
      </c>
      <c r="K16" s="174"/>
      <c r="L16" s="270"/>
      <c r="M16" s="503"/>
      <c r="N16" s="8"/>
      <c r="O16" s="92"/>
      <c r="P16" s="8"/>
      <c r="Q16" s="8"/>
      <c r="R16" s="8"/>
      <c r="S16" s="8"/>
      <c r="T16" s="8"/>
      <c r="U16" s="8"/>
      <c r="V16" s="8"/>
    </row>
    <row r="17" spans="1:16" ht="22.5" customHeight="1" thickTop="1" thickBot="1" x14ac:dyDescent="0.3">
      <c r="A17" s="7" t="s">
        <v>54</v>
      </c>
      <c r="B17" s="8" t="s">
        <v>342</v>
      </c>
      <c r="C17" s="11" t="s">
        <v>31</v>
      </c>
      <c r="D17" s="190"/>
      <c r="E17" s="205">
        <f>((D4*E8)/(2*PI()*D6))*1000</f>
        <v>16.02859817925949</v>
      </c>
      <c r="F17" s="284"/>
      <c r="G17" s="219"/>
      <c r="H17" s="205">
        <f>((G4*G8)/(2*PI()*G6))*1000</f>
        <v>1.175978190623449</v>
      </c>
      <c r="I17" s="284"/>
      <c r="J17" s="219"/>
      <c r="K17" s="205">
        <f>((J4*K8)/(2*PI()*J6))*1000</f>
        <v>9.8271620972956892</v>
      </c>
      <c r="L17" s="284"/>
    </row>
    <row r="18" spans="1:16" s="102" customFormat="1" ht="22.5" customHeight="1" x14ac:dyDescent="0.25">
      <c r="A18" s="99" t="s">
        <v>525</v>
      </c>
      <c r="B18" s="102" t="s">
        <v>142</v>
      </c>
      <c r="C18" s="100" t="s">
        <v>141</v>
      </c>
      <c r="D18" s="238">
        <f>'DATA_Расчёт катушек'!L2</f>
        <v>25.104996812618154</v>
      </c>
      <c r="E18" s="226">
        <v>1.4</v>
      </c>
      <c r="F18" s="277"/>
      <c r="G18" s="227">
        <f>'DATA_Расчёт катушек'!L4</f>
        <v>25.943759005447596</v>
      </c>
      <c r="H18" s="226">
        <v>1.4</v>
      </c>
      <c r="I18" s="288"/>
      <c r="J18" s="227">
        <f>'DATA_Расчёт катушек'!L3</f>
        <v>25.475431668523161</v>
      </c>
      <c r="K18" s="226">
        <v>1.4</v>
      </c>
      <c r="L18" s="277"/>
      <c r="O18" s="101"/>
      <c r="P18" s="100"/>
    </row>
    <row r="19" spans="1:16" ht="22.5" customHeight="1" x14ac:dyDescent="0.25">
      <c r="A19" s="7" t="s">
        <v>173</v>
      </c>
      <c r="B19" s="8" t="s">
        <v>141</v>
      </c>
      <c r="C19" s="11" t="s">
        <v>141</v>
      </c>
      <c r="D19" s="194">
        <f>'DATA_Расчёт катушек'!G2</f>
        <v>28.538</v>
      </c>
      <c r="E19" s="191" t="str" cm="1">
        <f t="array" ref="E19">OPTIMAL_BOBBIN(E17, E18, D2, D16, MAX(20, D6-200), D6+200)</f>
        <v>70/35</v>
      </c>
      <c r="G19" s="225">
        <f>'DATA_Расчёт катушек'!G4</f>
        <v>13.518000000000001</v>
      </c>
      <c r="H19" s="191" t="str" cm="1">
        <f t="array" ref="H19">OPTIMAL_BOBBIN(H17, H18, D2, G16, G6-200, G6+200)</f>
        <v>50/25</v>
      </c>
      <c r="J19" s="225">
        <f>'DATA_Расчёт катушек'!G3</f>
        <v>24.032</v>
      </c>
      <c r="K19" s="191" t="str" cm="1">
        <f t="array" ref="K19">OPTIMAL_BOBBIN(K17, K18, D2, J16, J6-200, J6+200)</f>
        <v>70/35</v>
      </c>
    </row>
    <row r="20" spans="1:16" ht="22.5" customHeight="1" x14ac:dyDescent="0.25">
      <c r="A20" s="7" t="s">
        <v>172</v>
      </c>
      <c r="B20" s="8" t="s">
        <v>24</v>
      </c>
      <c r="C20" s="11" t="s">
        <v>162</v>
      </c>
      <c r="D20" s="195">
        <f>'DATA_Расчёт катушек'!E2</f>
        <v>1.5046471062857143</v>
      </c>
      <c r="E20" s="196">
        <f>'DATA_Расчёт катушек'!F2</f>
        <v>434</v>
      </c>
      <c r="G20" s="229">
        <f>'DATA_Расчёт катушек'!E4</f>
        <v>0.31957590971428573</v>
      </c>
      <c r="H20" s="196">
        <f>'DATA_Расчёт катушек'!F4</f>
        <v>143</v>
      </c>
      <c r="J20" s="229">
        <f>'DATA_Расчёт катушек'!E3</f>
        <v>1.1447033495510204</v>
      </c>
      <c r="K20" s="196">
        <f>'DATA_Расчёт катушек'!F3</f>
        <v>346</v>
      </c>
    </row>
    <row r="21" spans="1:16" s="294" customFormat="1" ht="22.5" customHeight="1" thickBot="1" x14ac:dyDescent="0.3">
      <c r="A21" s="293" t="s">
        <v>161</v>
      </c>
      <c r="C21" s="295" t="s">
        <v>34</v>
      </c>
      <c r="D21" s="303"/>
      <c r="E21" s="304">
        <f>'DATA_Расчёт катушек'!M2</f>
        <v>134.35175549436192</v>
      </c>
      <c r="F21" s="305"/>
      <c r="G21" s="306"/>
      <c r="H21" s="304">
        <f>'DATA_Расчёт катушек'!M4</f>
        <v>28.535318550414338</v>
      </c>
      <c r="I21" s="300"/>
      <c r="J21" s="306"/>
      <c r="K21" s="304">
        <f>'DATA_Расчёт катушек'!M3</f>
        <v>102.21194317922171</v>
      </c>
      <c r="L21" s="301"/>
      <c r="O21" s="302"/>
    </row>
    <row r="22" spans="1:16" ht="22.5" customHeight="1" thickTop="1" x14ac:dyDescent="0.25">
      <c r="A22" s="7" t="s">
        <v>145</v>
      </c>
      <c r="B22" s="8" t="s">
        <v>340</v>
      </c>
      <c r="C22" s="11" t="s">
        <v>32</v>
      </c>
      <c r="D22" s="215">
        <f>(1/(2*PI()*D4*D6*E8))*10^6</f>
        <v>746.84255874002224</v>
      </c>
      <c r="E22" s="189" cm="1">
        <f t="array" ref="E22">GetPairedE24(D22, D24, 1)</f>
        <v>750</v>
      </c>
      <c r="F22" s="275">
        <f>(E22-D22)/D22</f>
        <v>4.2277200502668089E-3</v>
      </c>
      <c r="G22" s="215">
        <f>(1/(2*PI()*G4*G6*G8))*10^6</f>
        <v>73.867512806040736</v>
      </c>
      <c r="H22" s="189" cm="1">
        <f t="array" ref="H22">GetPairedE24(G22, G24, 1)</f>
        <v>75</v>
      </c>
      <c r="I22" s="275">
        <f>(H22-G22)/G22</f>
        <v>1.533132971368506E-2</v>
      </c>
      <c r="J22" s="215">
        <f>(1/(2*PI()*J4*J6*K8))*10^6</f>
        <v>61.937234289322127</v>
      </c>
      <c r="K22" s="189" cm="1">
        <f t="array" ref="K22">GetPairedE24(J22, J24, 1)</f>
        <v>62</v>
      </c>
      <c r="L22" s="275">
        <f>(K22-J22)/J22</f>
        <v>1.0133760636563236E-3</v>
      </c>
    </row>
    <row r="23" spans="1:16" ht="22.5" customHeight="1" x14ac:dyDescent="0.25">
      <c r="A23" s="7" t="s">
        <v>146</v>
      </c>
      <c r="B23" s="8" t="s">
        <v>341</v>
      </c>
      <c r="C23" s="11" t="s">
        <v>24</v>
      </c>
      <c r="D23" s="215">
        <f>D4+((D4*E8)/D7)</f>
        <v>8.1260391916800003</v>
      </c>
      <c r="E23" s="189"/>
      <c r="F23" s="278"/>
      <c r="G23" s="215">
        <f>G4+((G4*G8)/G7)</f>
        <v>7.8000000000000007</v>
      </c>
      <c r="H23" s="189"/>
      <c r="I23" s="278"/>
      <c r="J23" s="215">
        <f>J4+((J4*K8)/J7)</f>
        <v>8.8627635505009277</v>
      </c>
      <c r="K23" s="189"/>
      <c r="L23" s="278"/>
    </row>
    <row r="24" spans="1:16" ht="22.5" customHeight="1" x14ac:dyDescent="0.25">
      <c r="A24" s="7" t="s">
        <v>191</v>
      </c>
      <c r="B24" s="8" t="s">
        <v>526</v>
      </c>
      <c r="C24" s="11" t="s">
        <v>24</v>
      </c>
      <c r="D24" s="215">
        <f>D23-D20</f>
        <v>6.6213920853942856</v>
      </c>
      <c r="E24" s="221"/>
      <c r="F24" s="279"/>
      <c r="G24" s="215">
        <f>G23-G20</f>
        <v>7.4804240902857151</v>
      </c>
      <c r="H24" s="221"/>
      <c r="I24" s="279"/>
      <c r="J24" s="215">
        <f>J23-J20</f>
        <v>7.7180602009499069</v>
      </c>
      <c r="K24" s="221"/>
      <c r="L24" s="279"/>
    </row>
    <row r="25" spans="1:16" ht="22.5" customHeight="1" x14ac:dyDescent="0.25">
      <c r="A25" s="7" t="s">
        <v>218</v>
      </c>
      <c r="B25" s="8" t="s">
        <v>527</v>
      </c>
      <c r="C25" s="11" t="s">
        <v>24</v>
      </c>
      <c r="D25" s="214">
        <v>0.5</v>
      </c>
      <c r="E25" s="197" cm="1">
        <f t="array" ref="E25">GetPairedE24(D22,(D24-D25),2)</f>
        <v>6.2</v>
      </c>
      <c r="F25" s="275">
        <f>(E25-(D24-D25))/D24</f>
        <v>1.1871810880843452E-2</v>
      </c>
      <c r="G25" s="214">
        <v>0</v>
      </c>
      <c r="H25" s="197" cm="1">
        <f t="array" ref="H25">GetPairedE24(G22,(G24-G25),2)</f>
        <v>7.5</v>
      </c>
      <c r="I25" s="275">
        <f>(H25-(G24-G25))/G24</f>
        <v>2.6169518570085789E-3</v>
      </c>
      <c r="J25" s="214">
        <v>0</v>
      </c>
      <c r="K25" s="197" cm="1">
        <f t="array" ref="K25">GetPairedE24(J22,(J24-J25),2)</f>
        <v>7.5</v>
      </c>
      <c r="L25" s="275">
        <f>(K25-(J24-J25))/J24</f>
        <v>-2.8253239191250272E-2</v>
      </c>
    </row>
    <row r="26" spans="1:16" ht="22.5" customHeight="1" x14ac:dyDescent="0.25">
      <c r="A26" s="7" t="s">
        <v>113</v>
      </c>
      <c r="B26" s="8" t="s">
        <v>528</v>
      </c>
      <c r="C26" s="11" t="s">
        <v>27</v>
      </c>
      <c r="D26" s="219"/>
      <c r="E26" s="220" cm="1">
        <f t="array" ref="E26">CalcParallelResistorPower(D2, "Notch", D6, 0, D36, D6 * (E8 + D7) / (E8 * D7))</f>
        <v>20</v>
      </c>
      <c r="F26" s="276">
        <f>MAX(F22,F25) - MIN(F22,F25)</f>
        <v>7.6440908305766431E-3</v>
      </c>
      <c r="G26" s="219"/>
      <c r="H26" s="220" cm="1">
        <f t="array" ref="H26">CalcParallelResistorPower(D2, "Notch", G6, G36, 'Справочные таблицы'!$P$14, G6 * (G8 + G7) / (G8 * G7))</f>
        <v>5</v>
      </c>
      <c r="I26" s="276">
        <f>MAX(I22,I25) - MIN(I22,I25)</f>
        <v>1.2714377856676482E-2</v>
      </c>
      <c r="J26" s="219"/>
      <c r="K26" s="189" cm="1">
        <f t="array" ref="K26">CalcParallelResistorPower(D2, "Notch", J6, J36, M36, J6 * (K8 + J7) / (K8 * J7))</f>
        <v>5</v>
      </c>
      <c r="L26" s="276">
        <f>MAX(L22,L25) - MIN(L22,L25)</f>
        <v>2.9266615254906595E-2</v>
      </c>
    </row>
    <row r="27" spans="1:16" ht="37.5" customHeight="1" x14ac:dyDescent="0.25">
      <c r="A27" s="13" t="s">
        <v>30</v>
      </c>
    </row>
    <row r="28" spans="1:16" ht="22.5" customHeight="1" x14ac:dyDescent="0.25">
      <c r="A28" s="9" t="s">
        <v>147</v>
      </c>
      <c r="B28" s="8" t="s">
        <v>22</v>
      </c>
      <c r="C28" s="213" t="s">
        <v>24</v>
      </c>
      <c r="D28" s="214">
        <v>6</v>
      </c>
      <c r="E28" s="175"/>
      <c r="F28" s="276"/>
      <c r="G28" s="214">
        <v>6</v>
      </c>
      <c r="I28" s="276"/>
      <c r="J28" s="214">
        <v>6</v>
      </c>
      <c r="K28" s="175"/>
      <c r="L28" s="276"/>
    </row>
    <row r="29" spans="1:16" s="84" customFormat="1" ht="22.5" customHeight="1" thickBot="1" x14ac:dyDescent="0.3">
      <c r="A29" s="85" t="s">
        <v>58</v>
      </c>
      <c r="B29" s="84" t="s">
        <v>529</v>
      </c>
      <c r="C29" s="217" t="s">
        <v>26</v>
      </c>
      <c r="D29" s="214">
        <v>3</v>
      </c>
      <c r="E29" s="192"/>
      <c r="F29" s="280"/>
      <c r="G29" s="214">
        <v>5</v>
      </c>
      <c r="H29" s="192"/>
      <c r="I29" s="280"/>
      <c r="J29" s="214">
        <v>3</v>
      </c>
      <c r="K29" s="192"/>
      <c r="L29" s="280"/>
      <c r="O29" s="95"/>
    </row>
    <row r="30" spans="1:16" s="308" customFormat="1" ht="22.5" customHeight="1" thickBot="1" x14ac:dyDescent="0.3">
      <c r="A30" s="307" t="s">
        <v>59</v>
      </c>
      <c r="B30" s="308" t="s">
        <v>530</v>
      </c>
      <c r="C30" s="309"/>
      <c r="D30" s="310">
        <f>10^(D29/20)</f>
        <v>1.4125375446227544</v>
      </c>
      <c r="F30" s="311"/>
      <c r="G30" s="310">
        <f>10^(G29/20)</f>
        <v>1.778279410038923</v>
      </c>
      <c r="I30" s="311"/>
      <c r="J30" s="310">
        <f>10^(J29/20)</f>
        <v>1.4125375446227544</v>
      </c>
      <c r="L30" s="311"/>
      <c r="O30" s="312"/>
    </row>
    <row r="31" spans="1:16" ht="22.5" customHeight="1" thickTop="1" x14ac:dyDescent="0.25">
      <c r="A31" s="7" t="s">
        <v>148</v>
      </c>
      <c r="B31" s="8" t="s">
        <v>531</v>
      </c>
      <c r="C31" s="213" t="s">
        <v>24</v>
      </c>
      <c r="D31" s="215">
        <f>D28*((D30-1)/D30)</f>
        <v>1.752325293695173</v>
      </c>
      <c r="E31" s="189" cm="1">
        <f t="array" ref="E31">GetPairedE24(D31, D32, 1)</f>
        <v>1.8</v>
      </c>
      <c r="F31" s="275">
        <f>(E31-D31)/D31</f>
        <v>2.7206538920804022E-2</v>
      </c>
      <c r="G31" s="215">
        <f>G28*((G30-1)/G30)</f>
        <v>2.625952048857906</v>
      </c>
      <c r="H31" s="189" cm="1">
        <f t="array" ref="H31">GetPairedE24(G31, G32, 1)</f>
        <v>2.7</v>
      </c>
      <c r="I31" s="275">
        <f>(H31-G31)/G31</f>
        <v>2.8198516105539521E-2</v>
      </c>
      <c r="J31" s="215">
        <f>J28*((J30-1)/J30)</f>
        <v>1.752325293695173</v>
      </c>
      <c r="K31" s="189" cm="1">
        <f t="array" ref="K31">GetPairedE24(J31, J32, 1)</f>
        <v>1.8</v>
      </c>
      <c r="L31" s="275">
        <f>(K31-J31)/J31</f>
        <v>2.7206538920804022E-2</v>
      </c>
    </row>
    <row r="32" spans="1:16" ht="22.5" customHeight="1" x14ac:dyDescent="0.25">
      <c r="A32" s="7" t="s">
        <v>149</v>
      </c>
      <c r="B32" s="8" t="s">
        <v>532</v>
      </c>
      <c r="C32" s="213" t="s">
        <v>24</v>
      </c>
      <c r="D32" s="215">
        <f>D28/(D30-1)</f>
        <v>14.544130778416083</v>
      </c>
      <c r="E32" s="189" cm="1">
        <f t="array" ref="E32">GetPairedE24(D31, D32, 2)</f>
        <v>15</v>
      </c>
      <c r="F32" s="275">
        <f>(E32-D32)/D32</f>
        <v>3.1343861556885927E-2</v>
      </c>
      <c r="G32" s="215">
        <f>G28/(G30-1)</f>
        <v>7.7093135480738599</v>
      </c>
      <c r="H32" s="189" cm="1">
        <f t="array" ref="H32">GetPairedE24(G31, G32, 2)</f>
        <v>8.1999999999999993</v>
      </c>
      <c r="I32" s="275">
        <f>(H32-G32)/G32</f>
        <v>6.3648527053194681E-2</v>
      </c>
      <c r="J32" s="215">
        <f>J28/(J30-1)</f>
        <v>14.544130778416083</v>
      </c>
      <c r="K32" s="189" cm="1">
        <f t="array" ref="K32">GetPairedE24(J31, J32, 2)</f>
        <v>15</v>
      </c>
      <c r="L32" s="275">
        <f>(K32-J32)/J32</f>
        <v>3.1343861556885927E-2</v>
      </c>
    </row>
    <row r="33" spans="1:16" ht="22.5" customHeight="1" x14ac:dyDescent="0.25">
      <c r="A33" s="7" t="s">
        <v>150</v>
      </c>
      <c r="B33" s="8" t="s">
        <v>533</v>
      </c>
      <c r="C33" s="117" t="s">
        <v>27</v>
      </c>
      <c r="D33" s="216">
        <f>D2*(D31/D28)</f>
        <v>35.046505873903456</v>
      </c>
      <c r="E33" s="199" cm="1">
        <f t="array" ref="E33">CalcResistorPower(D2, 0, D36, D29)</f>
        <v>50</v>
      </c>
      <c r="F33" s="278"/>
      <c r="G33" s="216">
        <f>D2*(G31/G28)</f>
        <v>52.51904097715812</v>
      </c>
      <c r="H33" s="199" cm="1">
        <f t="array" ref="H33">CalcResistorPower(D2, G36, 'Справочные таблицы'!$P$14, G29)</f>
        <v>5</v>
      </c>
      <c r="I33" s="278"/>
      <c r="J33" s="216">
        <f>D2*(J31/J28)</f>
        <v>35.046505873903456</v>
      </c>
      <c r="K33" s="199" cm="1">
        <f t="array" ref="K33">CalcResistorPower(D2, J36, M36, J29)</f>
        <v>10</v>
      </c>
      <c r="L33" s="278"/>
    </row>
    <row r="34" spans="1:16" ht="22.5" customHeight="1" x14ac:dyDescent="0.25">
      <c r="A34" s="7" t="s">
        <v>151</v>
      </c>
      <c r="B34" s="8" t="s">
        <v>534</v>
      </c>
      <c r="C34" s="117" t="s">
        <v>27</v>
      </c>
      <c r="D34" s="216">
        <f>D2*(D28/((D30^2)*D32))</f>
        <v>24.811026090823876</v>
      </c>
      <c r="E34" s="199">
        <f>E33</f>
        <v>50</v>
      </c>
      <c r="F34" s="276">
        <f>MAX(F31:F32) - MIN(F31:F32)</f>
        <v>4.1373226360819047E-3</v>
      </c>
      <c r="G34" s="216">
        <f>D2*(G28/((G30^2)*G32))</f>
        <v>29.533627100821338</v>
      </c>
      <c r="H34" s="199">
        <f>H33</f>
        <v>5</v>
      </c>
      <c r="I34" s="276">
        <f>MAX(I31:I32) - MIN(I31:I32)</f>
        <v>3.545001094765516E-2</v>
      </c>
      <c r="J34" s="216">
        <f>D2*(J28/((J30^2)*J32))</f>
        <v>24.811026090823876</v>
      </c>
      <c r="K34" s="199">
        <f>K33</f>
        <v>10</v>
      </c>
      <c r="L34" s="276">
        <f>MAX(L31:L32) - MIN(L31:L32)</f>
        <v>4.1373226360819047E-3</v>
      </c>
    </row>
    <row r="35" spans="1:16" ht="37.5" customHeight="1" x14ac:dyDescent="0.25">
      <c r="A35" s="12" t="s">
        <v>82</v>
      </c>
    </row>
    <row r="36" spans="1:16" ht="22.5" customHeight="1" x14ac:dyDescent="0.25">
      <c r="A36" s="7" t="s">
        <v>61</v>
      </c>
      <c r="B36" s="8" t="s">
        <v>535</v>
      </c>
      <c r="C36" s="11" t="s">
        <v>25</v>
      </c>
      <c r="D36" s="176">
        <v>3300</v>
      </c>
      <c r="E36" s="177"/>
      <c r="F36" s="271"/>
      <c r="G36" s="248">
        <v>6700</v>
      </c>
      <c r="J36" s="253">
        <v>1000</v>
      </c>
      <c r="K36" s="200"/>
      <c r="L36" s="291"/>
      <c r="M36" s="289">
        <v>5500</v>
      </c>
      <c r="N36" s="70"/>
      <c r="O36" s="96"/>
    </row>
    <row r="37" spans="1:16" ht="22.5" customHeight="1" x14ac:dyDescent="0.25">
      <c r="A37" s="7" t="s">
        <v>536</v>
      </c>
      <c r="B37" s="8" t="s">
        <v>537</v>
      </c>
      <c r="C37" s="11" t="s">
        <v>24</v>
      </c>
      <c r="D37" s="181">
        <v>7.9</v>
      </c>
      <c r="E37" s="182"/>
      <c r="F37" s="273"/>
      <c r="G37" s="214">
        <v>8</v>
      </c>
      <c r="J37" s="253">
        <v>6.7</v>
      </c>
      <c r="K37" s="182"/>
      <c r="L37" s="273"/>
      <c r="M37" s="290">
        <v>8</v>
      </c>
      <c r="O37" s="97"/>
    </row>
    <row r="38" spans="1:16" s="294" customFormat="1" ht="22.5" customHeight="1" thickBot="1" x14ac:dyDescent="0.3">
      <c r="A38" s="293" t="s">
        <v>74</v>
      </c>
      <c r="C38" s="295"/>
      <c r="D38" s="296" t="s">
        <v>298</v>
      </c>
      <c r="E38" s="313"/>
      <c r="F38" s="314"/>
      <c r="G38" s="298" t="s">
        <v>298</v>
      </c>
      <c r="H38" s="299"/>
      <c r="I38" s="300"/>
      <c r="J38" s="315" t="s">
        <v>298</v>
      </c>
      <c r="K38" s="316"/>
      <c r="L38" s="314"/>
      <c r="M38" s="317" t="s">
        <v>298</v>
      </c>
      <c r="O38" s="318"/>
    </row>
    <row r="39" spans="1:16" ht="22.5" customHeight="1" thickTop="1" x14ac:dyDescent="0.25">
      <c r="A39" s="16" t="s">
        <v>152</v>
      </c>
      <c r="B39" s="8" t="s">
        <v>71</v>
      </c>
      <c r="C39" s="11" t="s">
        <v>32</v>
      </c>
      <c r="D39" s="203">
        <f>INDEX(DATA_Кроссовер!F2:F8, MATCH($D$38, DATA_Кроссовер!$D$2:$D$8, 0))</f>
        <v>9.7128486351816683</v>
      </c>
      <c r="E39" s="204" cm="1">
        <f t="array" ref="E39">GetPairedE24(D39, D40, 1)</f>
        <v>10</v>
      </c>
      <c r="F39" s="275">
        <f>IF(E39=0,"",(E39-D39)/D39)</f>
        <v>2.956407286923203E-2</v>
      </c>
      <c r="G39" s="236">
        <f>INDEX(DATA_Кроссовер!E11:E17, MATCH($G$38, DATA_Кроссовер!$D$11:$D$17, 0))</f>
        <v>1.5747137059650873</v>
      </c>
      <c r="H39" s="204" cm="1">
        <f t="array" ref="H39">GetPairedE24(G39, G40, 1)</f>
        <v>1.5</v>
      </c>
      <c r="I39" s="275">
        <f>(H39-G39)/G39</f>
        <v>-4.7445898058846116E-2</v>
      </c>
      <c r="J39" s="236">
        <f>INDEX(DATA_Кроссовер!N11:N17, MATCH($J$38, DATA_Кроссовер!$M$11:$M$17, 0))</f>
        <v>12.597709647720698</v>
      </c>
      <c r="K39" s="204" cm="1">
        <f t="array" ref="K39">GetPairedE24(J39, J40, 1)</f>
        <v>12</v>
      </c>
      <c r="L39" s="275">
        <f>(K39-J39)/J39</f>
        <v>-4.7445898058846116E-2</v>
      </c>
      <c r="M39" s="237">
        <f>INDEX(DATA_Кроссовер!O2:O8, MATCH($M$38, DATA_Кроссовер!$M$2:$M$8, 0))</f>
        <v>5.7548628163451401</v>
      </c>
      <c r="N39" s="106" cm="1">
        <f t="array" ref="N39">GetPairedE24(M39, M40, 1)</f>
        <v>5.6</v>
      </c>
      <c r="O39" s="105">
        <f>IF(N39=0,"",(N39-M39)/M39)</f>
        <v>-2.6909905811359092E-2</v>
      </c>
    </row>
    <row r="40" spans="1:16" ht="22.5" customHeight="1" thickBot="1" x14ac:dyDescent="0.3">
      <c r="A40" s="16" t="s">
        <v>153</v>
      </c>
      <c r="B40" s="8" t="s">
        <v>73</v>
      </c>
      <c r="C40" s="11" t="s">
        <v>32</v>
      </c>
      <c r="D40" s="203">
        <f>INDEX(DATA_Кроссовер!H2:H8, MATCH($D$38, DATA_Кроссовер!$D$2:$D$8, 0))</f>
        <v>2.1584108078181488</v>
      </c>
      <c r="E40" s="204" cm="1">
        <f t="array" ref="E40">GetPairedE24(D39, D40, 2)</f>
        <v>2.2000000000000002</v>
      </c>
      <c r="F40" s="275">
        <f>IF(E40=0,"",(E40-D40)/D40)</f>
        <v>1.9268432140539676E-2</v>
      </c>
      <c r="G40" s="236">
        <f>INDEX(DATA_Кроссовер!G11:G17, MATCH($G$38, DATA_Кроссовер!$D$11:$D$17, 0))</f>
        <v>3.1494274119301746</v>
      </c>
      <c r="H40" s="204" cm="1">
        <f t="array" ref="H40">GetPairedE24(G39, G40, 2)</f>
        <v>3</v>
      </c>
      <c r="I40" s="275">
        <f>IF(H40=0,"",(H40-G40)/G40)</f>
        <v>-4.7445898058846116E-2</v>
      </c>
      <c r="J40" s="236">
        <f>INDEX(DATA_Кроссовер!P11:P17, MATCH($J$38, DATA_Кроссовер!$M$11:$M$17, 0))</f>
        <v>25.195419295441397</v>
      </c>
      <c r="K40" s="204" cm="1">
        <f t="array" ref="K40">GetPairedE24(J39, J40, 2)</f>
        <v>24</v>
      </c>
      <c r="L40" s="275">
        <f>IF(K40=0,"",(K40-J40)/J40)</f>
        <v>-4.7445898058846116E-2</v>
      </c>
      <c r="M40" s="237">
        <f>INDEX(DATA_Кроссовер!Q2:Q8, MATCH($M$38, DATA_Кроссовер!$M$2:$M$8, 0))</f>
        <v>1.2788584036322532</v>
      </c>
      <c r="N40" s="106" cm="1">
        <f t="array" ref="N40">GetPairedE24(M39, M40, 2)</f>
        <v>1.3</v>
      </c>
      <c r="O40" s="105">
        <f>IF(N40=0,"",(N40-M40)/M40)</f>
        <v>1.6531616250634006E-2</v>
      </c>
    </row>
    <row r="41" spans="1:16" s="102" customFormat="1" ht="22.5" customHeight="1" x14ac:dyDescent="0.25">
      <c r="A41" s="99" t="s">
        <v>143</v>
      </c>
      <c r="B41" s="102" t="s">
        <v>70</v>
      </c>
      <c r="C41" s="100" t="s">
        <v>31</v>
      </c>
      <c r="D41" s="222">
        <f>INDEX(DATA_Кроссовер!E2:E8, MATCH($D$38, DATA_Кроссовер!$D$2:$D$8, 0))</f>
        <v>0.71843423208496349</v>
      </c>
      <c r="E41" s="205">
        <f>IF(D41=0, 0, IF(E39&lt;&gt;0, D41*(D39/E39), D41))</f>
        <v>0.6978042950574227</v>
      </c>
      <c r="F41" s="281"/>
      <c r="G41" s="223">
        <f>INDEX(DATA_Кроссовер!F11:F17, MATCH($G$38, DATA_Кроссовер!$D$11:$D$17, 0))</f>
        <v>0.1194449507339444</v>
      </c>
      <c r="H41" s="202">
        <f>G41*(G39/H39)</f>
        <v>0.12539440068604457</v>
      </c>
      <c r="I41" s="281"/>
      <c r="J41" s="223">
        <f>INDEX(DATA_Кроссовер!O11:O17, MATCH($J$38, DATA_Кроссовер!$M$11:$M$17, 0))</f>
        <v>0.67023547980584564</v>
      </c>
      <c r="K41" s="202">
        <f>J41*(J39/K39)</f>
        <v>0.70361933084956774</v>
      </c>
      <c r="L41" s="281"/>
      <c r="M41" s="224">
        <f>INDEX(DATA_Кроссовер!N2:N8, MATCH($M$38, DATA_Кроссовер!$M$2:$M$8, 0))</f>
        <v>0.43651700177314245</v>
      </c>
      <c r="N41" s="71">
        <f>IF(M41=0, 0, IF(N39&lt;&gt;0, M41*(M39/N39), M41))</f>
        <v>0.44858847539405777</v>
      </c>
      <c r="O41" s="98"/>
    </row>
    <row r="42" spans="1:16" s="294" customFormat="1" ht="22.5" customHeight="1" thickBot="1" x14ac:dyDescent="0.3">
      <c r="A42" s="293" t="s">
        <v>144</v>
      </c>
      <c r="B42" s="294" t="s">
        <v>72</v>
      </c>
      <c r="C42" s="295" t="s">
        <v>31</v>
      </c>
      <c r="D42" s="319">
        <f>INDEX(DATA_Кроссовер!G2:G8, MATCH($D$38, DATA_Кроссовер!$D$2:$D$8, 0))</f>
        <v>0.35921711604248174</v>
      </c>
      <c r="E42" s="320">
        <f>IF(D42=0, 0, IF(E40&lt;&gt;0, D42*(D40/E40), IF(E39&lt;&gt;0, D42*(D39/E39), D42)))</f>
        <v>0.35242641164516303</v>
      </c>
      <c r="F42" s="321">
        <f>MAX(F39:F40) - MIN(F39:F40)</f>
        <v>1.0295640728692355E-2</v>
      </c>
      <c r="G42" s="319">
        <f>INDEX(DATA_Кроссовер!H11:H17, MATCH($G$38, DATA_Кроссовер!$D$11:$D$17, 0))</f>
        <v>0.53750227830274988</v>
      </c>
      <c r="H42" s="322">
        <f>IF(G42=0,"",G42*(G40/H40))</f>
        <v>0.56427480308720068</v>
      </c>
      <c r="I42" s="321">
        <f>MAX(I39:I40) - MIN(I39:I40)</f>
        <v>0</v>
      </c>
      <c r="J42" s="319">
        <f>INDEX(DATA_Кроссовер!Q11:Q17, MATCH($J$38, DATA_Кроссовер!$M$11:$M$17, 0))</f>
        <v>3.0160596591263058</v>
      </c>
      <c r="K42" s="322">
        <f>IF(J42=0,"",J42*(J40/K40))</f>
        <v>3.1662869888230554</v>
      </c>
      <c r="L42" s="321">
        <f>MAX(L39:L40) - MIN(L39:L40)</f>
        <v>0</v>
      </c>
      <c r="M42" s="323">
        <f>INDEX(DATA_Кроссовер!P2:P8, MATCH($M$38, DATA_Кроссовер!$M$2:$M$8, 0))</f>
        <v>0.21825850088657123</v>
      </c>
      <c r="N42" s="324">
        <f>IF(M42=0, 0, IF(N40&lt;&gt;0, M42*(M40/N40), IF(N39&lt;&gt;0, M42*(M39/N39), M42)))</f>
        <v>0.21470901386382246</v>
      </c>
      <c r="O42" s="325">
        <f>MAX(O39:O40) - MIN(O39:O40)</f>
        <v>4.3441522061993101E-2</v>
      </c>
    </row>
    <row r="43" spans="1:16" s="102" customFormat="1" ht="22.5" customHeight="1" thickTop="1" x14ac:dyDescent="0.25">
      <c r="A43" s="99" t="s">
        <v>525</v>
      </c>
      <c r="B43" s="102" t="s">
        <v>142</v>
      </c>
      <c r="C43" s="100" t="s">
        <v>141</v>
      </c>
      <c r="D43" s="233">
        <f>'DATA_Расчёт катушек'!L6</f>
        <v>35.243486004021612</v>
      </c>
      <c r="E43" s="193">
        <v>2</v>
      </c>
      <c r="F43" s="277"/>
      <c r="G43" s="234">
        <f>IF('DATA_Расчёт катушек'!L12="","",'DATA_Расчёт катушек'!L12)</f>
        <v>28.515851834788133</v>
      </c>
      <c r="H43" s="193">
        <v>1.4</v>
      </c>
      <c r="I43" s="288"/>
      <c r="J43" s="233">
        <f>IF('DATA_Расчёт катушек'!L10="","",'DATA_Расчёт катушек'!L10)</f>
        <v>34.951853084717065</v>
      </c>
      <c r="K43" s="193">
        <v>2</v>
      </c>
      <c r="L43" s="277"/>
      <c r="M43" s="235">
        <f>'DATA_Расчёт катушек'!L8</f>
        <v>56.049976287330892</v>
      </c>
      <c r="N43" s="103">
        <v>1.4</v>
      </c>
      <c r="O43" s="101"/>
      <c r="P43" s="100"/>
    </row>
    <row r="44" spans="1:16" ht="22.5" customHeight="1" x14ac:dyDescent="0.25">
      <c r="A44" s="7" t="s">
        <v>173</v>
      </c>
      <c r="B44" s="8" t="s">
        <v>141</v>
      </c>
      <c r="C44" s="11" t="s">
        <v>141</v>
      </c>
      <c r="D44" s="225">
        <f>'DATA_Расчёт катушек'!G6</f>
        <v>21.12</v>
      </c>
      <c r="E44" s="205" t="str" cm="1">
        <f t="array" ref="E44">OPTIMAL_BOBBIN(E41, E43, D2, D37, 0, D36)</f>
        <v>50/25</v>
      </c>
      <c r="G44" s="225">
        <f>IF('DATA_Расчёт катушек'!G12="","",'DATA_Расчёт катушек'!G12)</f>
        <v>10.513999999999999</v>
      </c>
      <c r="H44" s="205" t="str" cm="1">
        <f t="array" ref="H44">OPTIMAL_BOBBIN(H41, H43, D2, G37, G36, 0)</f>
        <v>30/15</v>
      </c>
      <c r="J44" s="225">
        <f>IF('DATA_Расчёт катушек'!G10="","",'DATA_Расчёт катушек'!G10)</f>
        <v>21.12</v>
      </c>
      <c r="K44" s="205" t="str" cm="1">
        <f t="array" ref="K44">OPTIMAL_BOBBIN(K41, K43, D2, J37, J36, M36)</f>
        <v>50/25</v>
      </c>
      <c r="M44" s="228">
        <f>'DATA_Расчёт катушек'!G8</f>
        <v>12.016</v>
      </c>
      <c r="N44" s="71" t="str" cm="1">
        <f t="array" ref="N44">OPTIMAL_BOBBIN(N41, N43, D2, M37, J36, M36)</f>
        <v>40/20</v>
      </c>
    </row>
    <row r="45" spans="1:16" ht="22.5" customHeight="1" x14ac:dyDescent="0.25">
      <c r="A45" s="7" t="s">
        <v>219</v>
      </c>
      <c r="B45" s="8" t="s">
        <v>24</v>
      </c>
      <c r="C45" s="11" t="s">
        <v>162</v>
      </c>
      <c r="D45" s="229">
        <f>'DATA_Расчёт катушек'!E6</f>
        <v>0.13119364159999999</v>
      </c>
      <c r="E45" s="196">
        <f>'DATA_Расчёт катушек'!F6</f>
        <v>107</v>
      </c>
      <c r="G45" s="229">
        <f>IF('DATA_Расчёт катушек'!E12="","",'DATA_Расчёт катушек'!E12)</f>
        <v>8.5525880816326519E-2</v>
      </c>
      <c r="H45" s="196">
        <f>IF('DATA_Расчёт катушек'!F12="","",'DATA_Расчёт катушек'!F12)</f>
        <v>60</v>
      </c>
      <c r="J45" s="229">
        <f>IF('DATA_Расчёт катушек'!E10="","",'DATA_Расчёт катушек'!E10)</f>
        <v>0.13241975040000001</v>
      </c>
      <c r="K45" s="196">
        <f>IF('DATA_Расчёт катушек'!F10="","",'DATA_Расчёт катушек'!F10)</f>
        <v>108</v>
      </c>
      <c r="M45" s="230">
        <f>'DATA_Расчёт катушек'!E8</f>
        <v>0.18118128195918368</v>
      </c>
      <c r="N45" s="104">
        <f>'DATA_Расчёт катушек'!F8</f>
        <v>99</v>
      </c>
    </row>
    <row r="46" spans="1:16" s="294" customFormat="1" ht="22.5" customHeight="1" thickBot="1" x14ac:dyDescent="0.3">
      <c r="A46" s="293" t="s">
        <v>161</v>
      </c>
      <c r="C46" s="295" t="s">
        <v>34</v>
      </c>
      <c r="D46" s="306"/>
      <c r="E46" s="304">
        <f>'DATA_Расчёт катушек'!M6</f>
        <v>23.907017438995329</v>
      </c>
      <c r="F46" s="301"/>
      <c r="G46" s="306"/>
      <c r="H46" s="304">
        <f>IF('DATA_Расчёт катушек'!M12="","",'DATA_Расчёт катушек'!M12)</f>
        <v>7.6367090860527149</v>
      </c>
      <c r="I46" s="300"/>
      <c r="J46" s="306"/>
      <c r="K46" s="304">
        <f>IF('DATA_Расчёт катушек'!M10="","",'DATA_Расчёт катушек'!M10)</f>
        <v>24.13044750851865</v>
      </c>
      <c r="L46" s="301"/>
      <c r="M46" s="326"/>
      <c r="N46" s="327">
        <f>'DATA_Расчёт катушек'!M8</f>
        <v>16.177895263444608</v>
      </c>
      <c r="O46" s="302"/>
    </row>
    <row r="47" spans="1:16" s="102" customFormat="1" ht="22.5" customHeight="1" thickTop="1" x14ac:dyDescent="0.25">
      <c r="A47" s="99" t="s">
        <v>525</v>
      </c>
      <c r="B47" s="102" t="s">
        <v>142</v>
      </c>
      <c r="C47" s="100" t="s">
        <v>141</v>
      </c>
      <c r="D47" s="233">
        <f>IF('DATA_Расчёт катушек'!L7="","",'DATA_Расчёт катушек'!L7)</f>
        <v>33.563423074556141</v>
      </c>
      <c r="E47" s="193">
        <v>2</v>
      </c>
      <c r="F47" s="277"/>
      <c r="G47" s="234">
        <f>IF('DATA_Расчёт катушек'!L13="","",'DATA_Расчёт катушек'!L13)</f>
        <v>29.940089189249427</v>
      </c>
      <c r="H47" s="193">
        <v>1.4</v>
      </c>
      <c r="I47" s="288"/>
      <c r="J47" s="233">
        <f>IF('DATA_Расчёт катушек'!L11="","",'DATA_Расчёт катушек'!L11)</f>
        <v>65.980985221823346</v>
      </c>
      <c r="K47" s="193">
        <v>1.4</v>
      </c>
      <c r="L47" s="277"/>
      <c r="M47" s="235">
        <f>IF('DATA_Расчёт катушек'!L9="","",'DATA_Расчёт катушек'!L9)</f>
        <v>51.166213783262961</v>
      </c>
      <c r="N47" s="103">
        <v>1.4</v>
      </c>
      <c r="O47" s="101"/>
      <c r="P47" s="100"/>
    </row>
    <row r="48" spans="1:16" ht="22.5" customHeight="1" x14ac:dyDescent="0.25">
      <c r="A48" s="7" t="s">
        <v>173</v>
      </c>
      <c r="B48" s="8" t="s">
        <v>141</v>
      </c>
      <c r="C48" s="11" t="s">
        <v>141</v>
      </c>
      <c r="D48" s="225">
        <f>IF('DATA_Расчёт катушек'!G7="","",'DATA_Расчёт катушек'!G7)</f>
        <v>16.896000000000001</v>
      </c>
      <c r="E48" s="205" t="str" cm="1">
        <f t="array" ref="E48">OPTIMAL_BOBBIN(E42, E47, D2,D37, 0, D36)</f>
        <v>50/25</v>
      </c>
      <c r="G48" s="225">
        <f>IF('DATA_Расчёт катушек'!G13="","",'DATA_Расчёт катушек'!G13)</f>
        <v>13.518000000000001</v>
      </c>
      <c r="H48" s="205" t="str" cm="1">
        <f t="array" ref="H48">OPTIMAL_BOBBIN(H42,H47,D2,G37,G36,0)</f>
        <v>40/20</v>
      </c>
      <c r="J48" s="225">
        <f>IF('DATA_Расчёт катушек'!G11="","",'DATA_Расчёт катушек'!G11)</f>
        <v>18.024000000000001</v>
      </c>
      <c r="K48" s="205" t="str" cm="1">
        <f t="array" ref="K48">OPTIMAL_BOBBIN(K42, K47, D2, J37, J36, M36)</f>
        <v>60/30</v>
      </c>
      <c r="M48" s="228">
        <f>IF('DATA_Расчёт катушек'!G9="","",'DATA_Расчёт катушек'!G9)</f>
        <v>10.513999999999999</v>
      </c>
      <c r="N48" s="71" t="str" cm="1">
        <f t="array" ref="N48">OPTIMAL_BOBBIN(N42, N47, D2, M37, J36, M36)</f>
        <v>35/17,5</v>
      </c>
    </row>
    <row r="49" spans="1:15" ht="22.5" customHeight="1" x14ac:dyDescent="0.25">
      <c r="A49" s="7" t="s">
        <v>192</v>
      </c>
      <c r="B49" s="8" t="s">
        <v>24</v>
      </c>
      <c r="C49" s="11" t="s">
        <v>162</v>
      </c>
      <c r="D49" s="229">
        <f>IF('DATA_Расчёт катушек'!E7="","",'DATA_Расчёт катушек'!E7)</f>
        <v>8.9956389119999994E-2</v>
      </c>
      <c r="E49" s="196">
        <f>IF('DATA_Расчёт катушек'!F7="","",'DATA_Расчёт катушек'!F7)</f>
        <v>78</v>
      </c>
      <c r="G49" s="229">
        <f>IF('DATA_Расчёт катушек'!E13="","",'DATA_Расчёт катушек'!E13)</f>
        <v>0.20712558204081633</v>
      </c>
      <c r="H49" s="196">
        <f>IF('DATA_Расчёт катушек'!F13="","",'DATA_Расчёт катушек'!F13)</f>
        <v>110</v>
      </c>
      <c r="J49" s="229">
        <f>IF('DATA_Расчёт катушек'!E11="","",'DATA_Расчёт катушек'!E11)</f>
        <v>0.58472140995918376</v>
      </c>
      <c r="K49" s="196">
        <f>IF('DATA_Расчёт катушек'!F11="","",'DATA_Расчёт катушек'!F11)</f>
        <v>213</v>
      </c>
      <c r="M49" s="230">
        <f>IF('DATA_Расчёт катушек'!E9="","",'DATA_Расчёт катушек'!E9)</f>
        <v>0.11689852914285714</v>
      </c>
      <c r="N49" s="104">
        <f>IF('DATA_Расчёт катушек'!F9="","",'DATA_Расчёт катушек'!F9)</f>
        <v>73</v>
      </c>
    </row>
    <row r="50" spans="1:15" ht="22.5" customHeight="1" x14ac:dyDescent="0.25">
      <c r="A50" s="7" t="s">
        <v>161</v>
      </c>
      <c r="C50" s="11" t="s">
        <v>34</v>
      </c>
      <c r="D50" s="231"/>
      <c r="E50" s="196">
        <f>IF('DATA_Расчёт катушек'!M7="","",'DATA_Расчёт катушек'!M7)</f>
        <v>16.39247860805542</v>
      </c>
      <c r="G50" s="231"/>
      <c r="H50" s="196">
        <f>IF('DATA_Расчёт катушек'!M13="","",'DATA_Расчёт катушек'!M13)</f>
        <v>18.494493119831258</v>
      </c>
      <c r="J50" s="231"/>
      <c r="K50" s="196">
        <f>IF('DATA_Расчёт катушек'!M11="","",'DATA_Расчёт катушек'!M11)</f>
        <v>52.210480168389417</v>
      </c>
      <c r="M50" s="232"/>
      <c r="N50" s="104">
        <f>IF('DATA_Расчёт катушек'!M9="","",'DATA_Расчёт катушек'!M9)</f>
        <v>10.438010706591154</v>
      </c>
    </row>
    <row r="51" spans="1:15" ht="37.5" customHeight="1" x14ac:dyDescent="0.25">
      <c r="A51" s="12" t="s">
        <v>83</v>
      </c>
    </row>
    <row r="52" spans="1:15" ht="22.5" customHeight="1" x14ac:dyDescent="0.25">
      <c r="A52" s="7" t="s">
        <v>33</v>
      </c>
      <c r="B52" s="8" t="s">
        <v>538</v>
      </c>
      <c r="C52" s="11" t="s">
        <v>34</v>
      </c>
      <c r="D52" s="185">
        <v>0.27</v>
      </c>
      <c r="E52" s="206"/>
      <c r="F52" s="274"/>
      <c r="G52" s="182"/>
      <c r="K52" s="206"/>
      <c r="L52" s="274"/>
    </row>
    <row r="53" spans="1:15" ht="22.5" customHeight="1" x14ac:dyDescent="0.25">
      <c r="A53" s="7" t="s">
        <v>35</v>
      </c>
      <c r="B53" s="8" t="s">
        <v>539</v>
      </c>
      <c r="C53" s="11" t="s">
        <v>25</v>
      </c>
      <c r="D53" s="208">
        <f>115/D52</f>
        <v>425.92592592592592</v>
      </c>
      <c r="E53" s="177"/>
      <c r="F53" s="271"/>
      <c r="G53" s="182"/>
      <c r="K53" s="177"/>
      <c r="L53" s="271"/>
    </row>
    <row r="54" spans="1:15" ht="22.5" customHeight="1" x14ac:dyDescent="0.25">
      <c r="A54" s="7" t="s">
        <v>36</v>
      </c>
      <c r="B54" s="8" t="s">
        <v>540</v>
      </c>
      <c r="C54" s="11" t="s">
        <v>26</v>
      </c>
      <c r="D54" s="181">
        <v>3</v>
      </c>
      <c r="E54" s="182"/>
      <c r="F54" s="273"/>
      <c r="K54" s="182"/>
      <c r="L54" s="273"/>
    </row>
    <row r="55" spans="1:15" s="294" customFormat="1" ht="22.5" customHeight="1" thickBot="1" x14ac:dyDescent="0.3">
      <c r="A55" s="293" t="s">
        <v>541</v>
      </c>
      <c r="B55" s="294" t="s">
        <v>542</v>
      </c>
      <c r="C55" s="295" t="s">
        <v>24</v>
      </c>
      <c r="D55" s="296">
        <v>6.7</v>
      </c>
      <c r="E55" s="313"/>
      <c r="F55" s="314"/>
      <c r="G55" s="313"/>
      <c r="H55" s="299"/>
      <c r="I55" s="300"/>
      <c r="J55" s="299"/>
      <c r="K55" s="313"/>
      <c r="L55" s="314"/>
      <c r="O55" s="302"/>
    </row>
    <row r="56" spans="1:15" s="102" customFormat="1" ht="22.5" customHeight="1" thickTop="1" x14ac:dyDescent="0.25">
      <c r="A56" s="99" t="s">
        <v>146</v>
      </c>
      <c r="B56" s="102" t="s">
        <v>334</v>
      </c>
      <c r="C56" s="100" t="s">
        <v>24</v>
      </c>
      <c r="D56" s="209">
        <f>D55*(10^(D54/20)-1)</f>
        <v>2.7640015489724545</v>
      </c>
      <c r="E56" s="210" cm="1">
        <f t="array" ref="E56">GetPairedE24(D56, D56, 1)</f>
        <v>2.7</v>
      </c>
      <c r="F56" s="283"/>
      <c r="G56" s="249"/>
      <c r="H56" s="211"/>
      <c r="I56" s="288"/>
      <c r="J56" s="211"/>
      <c r="K56" s="212"/>
      <c r="L56" s="277"/>
      <c r="O56" s="101"/>
    </row>
    <row r="57" spans="1:15" ht="22.5" customHeight="1" x14ac:dyDescent="0.25">
      <c r="A57" s="7" t="s">
        <v>113</v>
      </c>
      <c r="B57" s="8" t="s">
        <v>528</v>
      </c>
      <c r="C57" s="11" t="s">
        <v>27</v>
      </c>
      <c r="D57" s="198">
        <f>D2*0.15</f>
        <v>18</v>
      </c>
      <c r="E57" s="199" cm="1">
        <f t="array" ref="E57">CalcBscResistorPower(D2, D53, D36, E56, D55)</f>
        <v>10</v>
      </c>
      <c r="F57" s="276"/>
      <c r="K57" s="182"/>
      <c r="L57" s="273"/>
    </row>
    <row r="58" spans="1:15" s="294" customFormat="1" ht="22.5" customHeight="1" thickBot="1" x14ac:dyDescent="0.3">
      <c r="A58" s="293" t="s">
        <v>54</v>
      </c>
      <c r="B58" s="294" t="s">
        <v>63</v>
      </c>
      <c r="C58" s="295" t="s">
        <v>31</v>
      </c>
      <c r="D58" s="310">
        <f>(D56/(2*PI()*D53))*1000</f>
        <v>1.0328192825461551</v>
      </c>
      <c r="E58" s="328">
        <f>D58*(D56/E56)</f>
        <v>1.0573015173208118</v>
      </c>
      <c r="F58" s="329"/>
      <c r="G58" s="297"/>
      <c r="H58" s="299"/>
      <c r="I58" s="300"/>
      <c r="J58" s="299"/>
      <c r="K58" s="313"/>
      <c r="L58" s="314"/>
      <c r="O58" s="302"/>
    </row>
    <row r="59" spans="1:15" s="102" customFormat="1" ht="22.5" customHeight="1" thickTop="1" x14ac:dyDescent="0.25">
      <c r="A59" s="99" t="s">
        <v>525</v>
      </c>
      <c r="B59" s="102" t="s">
        <v>142</v>
      </c>
      <c r="C59" s="100" t="s">
        <v>141</v>
      </c>
      <c r="D59" s="225">
        <f>'DATA_Расчёт катушек'!L5</f>
        <v>41.121154987445237</v>
      </c>
      <c r="E59" s="226">
        <v>1.6</v>
      </c>
      <c r="F59" s="277"/>
      <c r="G59" s="249"/>
      <c r="H59" s="211"/>
      <c r="I59" s="288"/>
      <c r="J59" s="211"/>
      <c r="K59" s="211"/>
      <c r="L59" s="292"/>
      <c r="O59" s="101"/>
    </row>
    <row r="60" spans="1:15" ht="22.5" customHeight="1" x14ac:dyDescent="0.25">
      <c r="A60" s="7" t="s">
        <v>173</v>
      </c>
      <c r="B60" s="8" t="s">
        <v>141</v>
      </c>
      <c r="C60" s="11" t="s">
        <v>141</v>
      </c>
      <c r="D60" s="225">
        <f>'DATA_Расчёт катушек'!G5</f>
        <v>17.059999999999999</v>
      </c>
      <c r="E60" s="205" t="str" cm="1">
        <f t="array" ref="E60">OPTIMAL_BOBBIN(E58, E59, D2, D55, 0, D53)</f>
        <v>50/25</v>
      </c>
      <c r="G60" s="250"/>
      <c r="I60" s="276"/>
      <c r="J60" s="182"/>
      <c r="K60" s="175"/>
      <c r="L60" s="276"/>
    </row>
    <row r="61" spans="1:15" ht="22.5" customHeight="1" x14ac:dyDescent="0.25">
      <c r="A61" s="7" t="s">
        <v>172</v>
      </c>
      <c r="B61" s="8" t="s">
        <v>24</v>
      </c>
      <c r="C61" s="11" t="s">
        <v>162</v>
      </c>
      <c r="D61" s="231">
        <f>'DATA_Расчёт катушек'!E5</f>
        <v>0.24206145249999991</v>
      </c>
      <c r="E61" s="196">
        <f>'DATA_Расчёт катушек'!F5</f>
        <v>134</v>
      </c>
      <c r="G61" s="182"/>
      <c r="K61" s="175"/>
      <c r="L61" s="276"/>
    </row>
    <row r="62" spans="1:15" s="84" customFormat="1" ht="22.5" customHeight="1" thickBot="1" x14ac:dyDescent="0.3">
      <c r="A62" s="85" t="s">
        <v>161</v>
      </c>
      <c r="C62" s="86" t="s">
        <v>34</v>
      </c>
      <c r="D62" s="231"/>
      <c r="E62" s="196">
        <f>'DATA_Расчёт катушек'!M5 + 1</f>
        <v>29.230477248865885</v>
      </c>
      <c r="F62" s="282"/>
      <c r="G62" s="201"/>
      <c r="H62" s="192"/>
      <c r="I62" s="287"/>
      <c r="J62" s="192"/>
      <c r="K62" s="192"/>
      <c r="L62" s="280"/>
      <c r="O62" s="95"/>
    </row>
    <row r="63" spans="1:15" ht="22.5" customHeight="1" x14ac:dyDescent="0.25">
      <c r="A63" s="10"/>
      <c r="K63" s="182"/>
      <c r="L63" s="273"/>
    </row>
    <row r="64" spans="1:15" ht="22.5" customHeight="1" x14ac:dyDescent="0.25">
      <c r="D64" s="207"/>
      <c r="E64" s="182"/>
      <c r="F64" s="273"/>
      <c r="K64" s="182"/>
      <c r="L64" s="273"/>
    </row>
    <row r="65" spans="4:6" x14ac:dyDescent="0.25">
      <c r="D65" s="207"/>
      <c r="E65" s="182"/>
      <c r="F65" s="273"/>
    </row>
    <row r="66" spans="4:6" x14ac:dyDescent="0.25">
      <c r="D66" s="207"/>
      <c r="E66" s="182"/>
      <c r="F66" s="273"/>
    </row>
    <row r="67" spans="4:6" x14ac:dyDescent="0.25">
      <c r="D67" s="207"/>
      <c r="E67" s="182"/>
      <c r="F67" s="273"/>
    </row>
  </sheetData>
  <conditionalFormatting sqref="D45 D49">
    <cfRule type="expression" dxfId="43" priority="1">
      <formula>AND(ISNUMBER(D45),D45&gt;0,SUM($D$45,$D$49)&lt;=$D$4*0.05)</formula>
    </cfRule>
  </conditionalFormatting>
  <conditionalFormatting sqref="D45 D49">
    <cfRule type="expression" dxfId="42" priority="2">
      <formula>AND(ISNUMBER(D45),D45&gt;0,SUM($D$45,$D$49)&gt;$D$4*0.05,SUM($D$45,$D$49)&lt;=$D$4*0.1)</formula>
    </cfRule>
  </conditionalFormatting>
  <conditionalFormatting sqref="D45 D49">
    <cfRule type="expression" dxfId="41" priority="3">
      <formula>AND(ISNUMBER(D45),D45&gt;0,SUM($D$45,$D$49)&gt;$D$4*0.1)</formula>
    </cfRule>
  </conditionalFormatting>
  <conditionalFormatting sqref="D39:D40 G40 J40 M39:M40">
    <cfRule type="cellIs" dxfId="40" priority="4" operator="equal">
      <formula>0</formula>
    </cfRule>
  </conditionalFormatting>
  <conditionalFormatting sqref="E39:E40 H40 K40 N39:N40">
    <cfRule type="cellIs" dxfId="39" priority="5" operator="equal">
      <formula>0</formula>
    </cfRule>
  </conditionalFormatting>
  <conditionalFormatting sqref="D49 M49">
    <cfRule type="cellIs" dxfId="38" priority="6" operator="equal">
      <formula>0</formula>
    </cfRule>
  </conditionalFormatting>
  <conditionalFormatting sqref="K43">
    <cfRule type="expression" dxfId="37" priority="7">
      <formula>$K$44=""</formula>
    </cfRule>
  </conditionalFormatting>
  <conditionalFormatting sqref="H43">
    <cfRule type="expression" dxfId="36" priority="8">
      <formula>$H$44=""</formula>
    </cfRule>
  </conditionalFormatting>
  <conditionalFormatting sqref="N47">
    <cfRule type="expression" dxfId="35" priority="9">
      <formula>$N$48=""</formula>
    </cfRule>
  </conditionalFormatting>
  <conditionalFormatting sqref="K47">
    <cfRule type="expression" dxfId="34" priority="10">
      <formula>$K$48=""</formula>
    </cfRule>
  </conditionalFormatting>
  <conditionalFormatting sqref="H47">
    <cfRule type="expression" dxfId="33" priority="11">
      <formula>$H$48=""</formula>
    </cfRule>
  </conditionalFormatting>
  <conditionalFormatting sqref="E47">
    <cfRule type="expression" dxfId="32" priority="12">
      <formula>$E$48=""</formula>
    </cfRule>
  </conditionalFormatting>
  <conditionalFormatting sqref="G43 J43 D47 G47 J47 M47">
    <cfRule type="cellIs" dxfId="31" priority="13" stopIfTrue="1" operator="equal">
      <formula>""</formula>
    </cfRule>
  </conditionalFormatting>
  <conditionalFormatting sqref="D18 G18 J18 D43 G43 J43 M43 D47 G47 J47 M47 D59">
    <cfRule type="cellIs" dxfId="30" priority="26" operator="greaterThan">
      <formula>80</formula>
    </cfRule>
  </conditionalFormatting>
  <conditionalFormatting sqref="D18 G18 J18 D43 G43 J43 M43 D47 G47 J47 M47 D59">
    <cfRule type="cellIs" dxfId="29" priority="27" operator="between">
      <formula>40</formula>
      <formula>80</formula>
    </cfRule>
  </conditionalFormatting>
  <conditionalFormatting sqref="D18 G18 J18 D43 G43 J43 M43 D47 G47 J47 M47 D59">
    <cfRule type="cellIs" dxfId="28" priority="28" operator="lessThan">
      <formula>40</formula>
    </cfRule>
  </conditionalFormatting>
  <conditionalFormatting sqref="F14 I14 L14 F26 I26 L26 F34 I34 L34 F42 I42 L42 O42">
    <cfRule type="cellIs" dxfId="27" priority="29" operator="greaterThan">
      <formula>0.08</formula>
    </cfRule>
  </conditionalFormatting>
  <conditionalFormatting sqref="F14 I14 L14 F26 I26 L26 F34 I34 L34 F42 I42 L42 O42">
    <cfRule type="cellIs" dxfId="26" priority="30" operator="lessThan">
      <formula>-0.08</formula>
    </cfRule>
  </conditionalFormatting>
  <conditionalFormatting sqref="F14 I14 L14 F26 I26 L26 F34 I34 L34 F42 I42 L42 O42">
    <cfRule type="cellIs" dxfId="25" priority="31" operator="between">
      <formula>0.030000000001</formula>
      <formula>0.08</formula>
    </cfRule>
  </conditionalFormatting>
  <conditionalFormatting sqref="F14 I14 L14 F26 I26 L26 F34 I34 L34 F42 I42 L42 O42">
    <cfRule type="cellIs" dxfId="24" priority="32" operator="between">
      <formula>-0.08</formula>
      <formula>-0.030000000001</formula>
    </cfRule>
  </conditionalFormatting>
  <conditionalFormatting sqref="F14 I14 L14 F26 I26 L26 F34 I34 L34 F42 I42 L42 O42">
    <cfRule type="cellIs" dxfId="23" priority="33" operator="between">
      <formula>-0.03</formula>
      <formula>0.03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851A6BC7-618C-4D65-9BFC-741572F8CD9F}">
            <xm:f>IFERROR(AND(ISNUMBER($D$19),$D$19&gt;(VLOOKUP('DATA_Расчёт катушек'!$D$2,'DATA_Провода,Каркасы'!$H:$K,4,0)-VLOOKUP('DATA_Расчёт катушек'!$D$2,'DATA_Провода,Каркасы'!$H:$K,2,0))/2),FALSE)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expression" priority="15" id="{296895E3-103D-4442-A7C4-6FB38CEA20DE}">
            <xm:f>IFERROR(AND(ISNUMBER($G$19),$G$19&gt;(VLOOKUP('DATA_Расчёт катушек'!$D$4,'DATA_Провода,Каркасы'!$H:$K,4,0)-VLOOKUP('DATA_Расчёт катушек'!$D$4,'DATA_Провода,Каркасы'!$H:$K,2,0))/2),FALSE)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G19</xm:sqref>
        </x14:conditionalFormatting>
        <x14:conditionalFormatting xmlns:xm="http://schemas.microsoft.com/office/excel/2006/main">
          <x14:cfRule type="expression" priority="16" id="{8EAAAB1A-C080-4571-843D-C6D1F026ECB3}">
            <xm:f>IFERROR(AND(ISNUMBER($J$19),$J$19&gt;(VLOOKUP('DATA_Расчёт катушек'!$D$3,'DATA_Провода,Каркасы'!$H:$K,4,0)-VLOOKUP('DATA_Расчёт катушек'!$D$3,'DATA_Провода,Каркасы'!$H:$K,2,0))/2),FALSE)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17" id="{F5E9809D-F397-458E-AB7F-892A4EEB5615}">
            <xm:f>IFERROR(AND(ISNUMBER($D$60),$D$60&gt;(VLOOKUP('DATA_Расчёт катушек'!$D$5,'DATA_Провода,Каркасы'!$H:$K,4,0)-VLOOKUP('DATA_Расчёт катушек'!$D$5,'DATA_Провода,Каркасы'!$H:$K,2,0))/2),FALSE)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D60</xm:sqref>
        </x14:conditionalFormatting>
        <x14:conditionalFormatting xmlns:xm="http://schemas.microsoft.com/office/excel/2006/main">
          <x14:cfRule type="expression" priority="18" id="{9A6F04BA-0391-46B9-9F8E-14860B389747}">
            <xm:f>IFERROR(AND(ISNUMBER($D$44),$D$44&gt;(VLOOKUP('DATA_Расчёт катушек'!$D$6,'DATA_Провода,Каркасы'!$H:$K,4,0)-VLOOKUP('DATA_Расчёт катушек'!$D$6,'DATA_Провода,Каркасы'!$H:$K,2,0))/2),FALSE)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D44</xm:sqref>
        </x14:conditionalFormatting>
        <x14:conditionalFormatting xmlns:xm="http://schemas.microsoft.com/office/excel/2006/main">
          <x14:cfRule type="expression" priority="19" id="{585AE24E-FE0D-4A61-A752-3485D5DB8DAB}">
            <xm:f>IFERROR(AND(ISNUMBER($G$44),$G$44&gt;(VLOOKUP('DATA_Расчёт катушек'!$D$12,'DATA_Провода,Каркасы'!$H:$K,4,0)-VLOOKUP('DATA_Расчёт катушек'!$D$12,'DATA_Провода,Каркасы'!$H:$K,2,0))/2),FALSE)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expression" priority="20" id="{E3D2D08E-841E-4635-9536-C6D033F1CCB9}">
            <xm:f>IFERROR(AND(ISNUMBER($J$44),$J$44&gt;(VLOOKUP('DATA_Расчёт катушек'!$D$10,'DATA_Провода,Каркасы'!$H:$K,4,0)-VLOOKUP('DATA_Расчёт катушек'!$D$10,'DATA_Провода,Каркасы'!$H:$K,2,0))/2),FALSE)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expression" priority="21" id="{9605E623-F88A-4692-BD9E-7A11DD975506}">
            <xm:f>IFERROR(AND(ISNUMBER($M$44),$M$44&gt;(VLOOKUP('DATA_Расчёт катушек'!$D$8,'DATA_Провода,Каркасы'!$H:$K,4,0)-VLOOKUP('DATA_Расчёт катушек'!$D$8,'DATA_Провода,Каркасы'!$H:$K,2,0))/2),FALSE)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M44</xm:sqref>
        </x14:conditionalFormatting>
        <x14:conditionalFormatting xmlns:xm="http://schemas.microsoft.com/office/excel/2006/main">
          <x14:cfRule type="expression" priority="22" id="{5D780ED7-6522-4DEB-8B8C-9A5A44DC50B9}">
            <xm:f>IFERROR(AND(ISNUMBER($D$48),$D$48&gt;(VLOOKUP('DATA_Расчёт катушек'!$D$7,'DATA_Провода,Каркасы'!$H:$K,4,0)-VLOOKUP('DATA_Расчёт катушек'!$D$7,'DATA_Провода,Каркасы'!$H:$K,2,0))/2),FALSE)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D48</xm:sqref>
        </x14:conditionalFormatting>
        <x14:conditionalFormatting xmlns:xm="http://schemas.microsoft.com/office/excel/2006/main">
          <x14:cfRule type="expression" priority="23" id="{57598A96-D330-4E90-9724-FD7E5DDFB35D}">
            <xm:f>IFERROR(AND(ISNUMBER($G$48),$G$48&gt;(VLOOKUP('DATA_Расчёт катушек'!$D$13,'DATA_Провода,Каркасы'!$H:$K,4,0)-VLOOKUP('DATA_Расчёт катушек'!$D$13,'DATA_Провода,Каркасы'!$H:$K,2,0))/2),FALSE)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G48</xm:sqref>
        </x14:conditionalFormatting>
        <x14:conditionalFormatting xmlns:xm="http://schemas.microsoft.com/office/excel/2006/main">
          <x14:cfRule type="expression" priority="24" id="{AA33C428-7B3A-4A09-9183-002F9D71E600}">
            <xm:f>IFERROR(AND(ISNUMBER($J$48),$J$48&gt;(VLOOKUP('DATA_Расчёт катушек'!$D$11,'DATA_Провода,Каркасы'!$H:$K,4,0)-VLOOKUP('DATA_Расчёт катушек'!$D$11,'DATA_Провода,Каркасы'!$H:$K,2,0))/2),FALSE)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J48</xm:sqref>
        </x14:conditionalFormatting>
        <x14:conditionalFormatting xmlns:xm="http://schemas.microsoft.com/office/excel/2006/main">
          <x14:cfRule type="expression" priority="25" id="{B20B44B3-B804-4DB8-B4BF-093F37AF1649}">
            <xm:f>IFERROR(AND(ISNUMBER($M$48),$M$48&gt;(VLOOKUP('DATA_Расчёт катушек'!$D$9,'DATA_Провода,Каркасы'!$H:$K,4,0)-VLOOKUP('DATA_Расчёт катушек'!$D$9,'DATA_Провода,Каркасы'!$H:$K,2,0))/2),FALSE)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M48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65AA974E-413C-41C9-A803-57B0E2368561}">
          <x14:formula1>
            <xm:f>DATA_Кроссовер!$D$11:$D$17</xm:f>
          </x14:formula1>
          <xm:sqref>G38:G40</xm:sqref>
        </x14:dataValidation>
        <x14:dataValidation type="list" allowBlank="1" showInputMessage="1" showErrorMessage="1" xr:uid="{8435CB49-A615-4543-8D7C-0F208E48325B}">
          <x14:formula1>
            <xm:f>DATA_Кроссовер!$D$2:$D$8</xm:f>
          </x14:formula1>
          <xm:sqref>D38:D40</xm:sqref>
        </x14:dataValidation>
        <x14:dataValidation type="list" allowBlank="1" showInputMessage="1" showErrorMessage="1" xr:uid="{D7BB4CD8-1C3F-46C2-A062-A0ECA0AF339F}">
          <x14:formula1>
            <xm:f>DATA_Кроссовер!$M$11:$M$17</xm:f>
          </x14:formula1>
          <xm:sqref>J38:J40</xm:sqref>
        </x14:dataValidation>
        <x14:dataValidation type="list" allowBlank="1" showInputMessage="1" showErrorMessage="1" xr:uid="{EF9B7B12-BB5C-4BDE-AF29-401F0451365E}">
          <x14:formula1>
            <xm:f>DATA_Кроссовер!$M$2:$M$8</xm:f>
          </x14:formula1>
          <xm:sqref>M38:M40</xm:sqref>
        </x14:dataValidation>
        <x14:dataValidation type="list" allowBlank="1" showInputMessage="1" showErrorMessage="1" xr:uid="{2B8779E5-4074-477E-AB88-6E078109833F}">
          <x14:formula1>
            <xm:f>'DATA_Провода,Каркасы'!$A$3:$A$11</xm:f>
          </x14:formula1>
          <xm:sqref>E18 H18 K18 E43 E59 H43 K43 N43 H47 K47 N47 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FFBF-FE3F-440F-B6B6-9537F5F91B1B}">
  <sheetPr codeName="Лист4">
    <tabColor theme="9" tint="0.59999389629810485"/>
  </sheetPr>
  <dimension ref="B1:V85"/>
  <sheetViews>
    <sheetView showGridLines="0" zoomScaleNormal="100" workbookViewId="0">
      <selection activeCell="V9" sqref="V9"/>
    </sheetView>
  </sheetViews>
  <sheetFormatPr defaultRowHeight="14.25" x14ac:dyDescent="0.25"/>
  <cols>
    <col min="1" max="1" width="1.42578125" style="108" customWidth="1"/>
    <col min="2" max="2" width="23.5703125" style="108" customWidth="1"/>
    <col min="3" max="3" width="10.28515625" style="255" bestFit="1" customWidth="1"/>
    <col min="4" max="4" width="10.140625" style="255" bestFit="1" customWidth="1"/>
    <col min="5" max="5" width="20" style="255" customWidth="1"/>
    <col min="6" max="6" width="9.7109375" style="108" bestFit="1" customWidth="1"/>
    <col min="7" max="7" width="12" style="108" bestFit="1" customWidth="1"/>
    <col min="8" max="8" width="8.140625" style="255" bestFit="1" customWidth="1"/>
    <col min="9" max="9" width="10.28515625" style="255" customWidth="1"/>
    <col min="10" max="10" width="2.85546875" style="108" customWidth="1"/>
    <col min="11" max="11" width="8.42578125" style="108" customWidth="1"/>
    <col min="12" max="12" width="19.140625" style="108" customWidth="1"/>
    <col min="13" max="13" width="11.28515625" style="108" bestFit="1" customWidth="1"/>
    <col min="14" max="14" width="13.7109375" style="108" customWidth="1"/>
    <col min="15" max="15" width="9.28515625" style="108" customWidth="1"/>
    <col min="16" max="16" width="5.140625" style="108" customWidth="1"/>
    <col min="17" max="17" width="7.85546875" style="108" customWidth="1"/>
    <col min="18" max="18" width="10.140625" style="108" customWidth="1"/>
    <col min="19" max="19" width="11.42578125" style="108" customWidth="1"/>
    <col min="20" max="20" width="8" style="108" customWidth="1"/>
    <col min="21" max="21" width="8.85546875" style="108" customWidth="1"/>
    <col min="22" max="22" width="45.5703125" style="108" customWidth="1"/>
    <col min="23" max="16384" width="9.140625" style="108"/>
  </cols>
  <sheetData>
    <row r="1" spans="2:22" ht="37.5" customHeight="1" x14ac:dyDescent="0.3">
      <c r="B1" s="436" t="s">
        <v>326</v>
      </c>
      <c r="C1" s="437"/>
      <c r="D1" s="437"/>
      <c r="E1" s="437"/>
      <c r="F1" s="437"/>
      <c r="G1" s="437"/>
      <c r="H1" s="437"/>
      <c r="I1" s="437"/>
      <c r="J1" s="438"/>
      <c r="L1" s="488"/>
      <c r="M1" s="488"/>
      <c r="N1" s="488"/>
      <c r="O1" s="488"/>
      <c r="P1"/>
      <c r="Q1"/>
      <c r="R1"/>
      <c r="S1"/>
      <c r="T1"/>
      <c r="U1"/>
      <c r="V1"/>
    </row>
    <row r="2" spans="2:22" ht="22.5" customHeight="1" x14ac:dyDescent="0.25">
      <c r="B2" s="504" t="s">
        <v>315</v>
      </c>
      <c r="C2" s="439">
        <v>2</v>
      </c>
      <c r="D2" s="441" t="s">
        <v>162</v>
      </c>
      <c r="E2" s="504" t="s">
        <v>184</v>
      </c>
      <c r="F2" s="440">
        <f>'Сквозной расчёт фильтров'!D2</f>
        <v>120</v>
      </c>
      <c r="G2" s="441" t="s">
        <v>27</v>
      </c>
      <c r="H2" s="441"/>
      <c r="I2" s="441"/>
      <c r="K2" s="488"/>
      <c r="L2" s="488"/>
      <c r="M2" s="488"/>
      <c r="N2" s="488"/>
      <c r="O2" s="488"/>
      <c r="P2"/>
      <c r="Q2"/>
      <c r="R2"/>
      <c r="S2"/>
      <c r="T2"/>
      <c r="U2"/>
      <c r="V2"/>
    </row>
    <row r="3" spans="2:22" ht="6.75" customHeight="1" x14ac:dyDescent="0.25">
      <c r="B3" s="442"/>
      <c r="C3" s="443"/>
      <c r="D3" s="442"/>
      <c r="E3" s="442"/>
      <c r="F3" s="443"/>
      <c r="G3" s="442"/>
      <c r="H3" s="444"/>
      <c r="I3" s="444"/>
      <c r="K3" s="488"/>
      <c r="L3" s="488"/>
      <c r="M3" s="488"/>
      <c r="N3" s="488"/>
      <c r="O3" s="488"/>
      <c r="P3"/>
      <c r="Q3"/>
      <c r="R3"/>
      <c r="S3"/>
      <c r="T3"/>
      <c r="U3"/>
      <c r="V3"/>
    </row>
    <row r="4" spans="2:22" ht="22.5" customHeight="1" thickBot="1" x14ac:dyDescent="0.3">
      <c r="B4" s="463" t="s">
        <v>221</v>
      </c>
      <c r="C4" s="463" t="s">
        <v>225</v>
      </c>
      <c r="D4" s="463" t="s">
        <v>222</v>
      </c>
      <c r="E4" s="463" t="s">
        <v>220</v>
      </c>
      <c r="F4" s="463" t="s">
        <v>223</v>
      </c>
      <c r="G4" s="463" t="s">
        <v>224</v>
      </c>
      <c r="H4" s="445"/>
      <c r="I4" s="514" t="s">
        <v>560</v>
      </c>
      <c r="J4" s="514"/>
      <c r="K4" s="514"/>
      <c r="L4" s="514"/>
      <c r="M4" s="514"/>
      <c r="N4" s="514"/>
      <c r="O4" s="488"/>
      <c r="P4"/>
      <c r="Q4"/>
      <c r="R4"/>
      <c r="S4"/>
      <c r="T4"/>
      <c r="U4"/>
      <c r="V4"/>
    </row>
    <row r="5" spans="2:22" ht="22.5" customHeight="1" thickTop="1" x14ac:dyDescent="0.25">
      <c r="B5" s="446" t="s">
        <v>17</v>
      </c>
      <c r="C5" s="447" t="s">
        <v>48</v>
      </c>
      <c r="D5" s="447" t="s">
        <v>47</v>
      </c>
      <c r="E5" s="447" t="s">
        <v>48</v>
      </c>
      <c r="F5" s="447" t="s">
        <v>47</v>
      </c>
      <c r="G5" s="447" t="s">
        <v>47</v>
      </c>
      <c r="H5" s="445"/>
      <c r="I5" s="514"/>
      <c r="J5" s="514"/>
      <c r="K5" s="514"/>
      <c r="L5" s="514"/>
      <c r="M5" s="514"/>
      <c r="N5" s="514"/>
      <c r="O5"/>
      <c r="P5"/>
      <c r="Q5"/>
      <c r="R5"/>
      <c r="S5"/>
      <c r="T5"/>
      <c r="U5"/>
      <c r="V5"/>
    </row>
    <row r="6" spans="2:22" ht="22.5" customHeight="1" x14ac:dyDescent="0.25">
      <c r="B6" s="446" t="s">
        <v>51</v>
      </c>
      <c r="C6" s="448" t="s">
        <v>327</v>
      </c>
      <c r="D6" s="447" t="s">
        <v>47</v>
      </c>
      <c r="E6" s="447" t="s">
        <v>47</v>
      </c>
      <c r="F6" s="447" t="s">
        <v>47</v>
      </c>
      <c r="G6" s="447" t="s">
        <v>48</v>
      </c>
      <c r="H6" s="445"/>
      <c r="I6" s="514"/>
      <c r="J6" s="514"/>
      <c r="K6" s="514"/>
      <c r="L6" s="514"/>
      <c r="M6" s="514"/>
      <c r="N6" s="514"/>
      <c r="O6"/>
      <c r="P6"/>
      <c r="Q6"/>
      <c r="R6"/>
      <c r="S6"/>
      <c r="T6"/>
      <c r="U6"/>
      <c r="V6"/>
    </row>
    <row r="7" spans="2:22" ht="22.5" customHeight="1" x14ac:dyDescent="0.25">
      <c r="B7" s="446" t="s">
        <v>16</v>
      </c>
      <c r="C7" s="448" t="s">
        <v>327</v>
      </c>
      <c r="D7" s="447" t="s">
        <v>48</v>
      </c>
      <c r="E7" s="447" t="s">
        <v>47</v>
      </c>
      <c r="F7" s="447" t="s">
        <v>47</v>
      </c>
      <c r="G7" s="447" t="s">
        <v>48</v>
      </c>
      <c r="H7" s="445"/>
      <c r="I7" s="514"/>
      <c r="J7" s="514"/>
      <c r="K7" s="514"/>
      <c r="L7" s="514"/>
      <c r="M7" s="514"/>
      <c r="N7" s="514"/>
      <c r="O7"/>
      <c r="P7"/>
      <c r="Q7"/>
      <c r="R7"/>
      <c r="S7"/>
      <c r="T7"/>
      <c r="U7"/>
      <c r="V7"/>
    </row>
    <row r="8" spans="2:22" ht="37.5" customHeight="1" x14ac:dyDescent="0.3">
      <c r="B8" s="436" t="s">
        <v>562</v>
      </c>
      <c r="C8" s="437"/>
      <c r="D8" s="437"/>
      <c r="E8" s="437"/>
      <c r="F8" s="437"/>
      <c r="G8" s="437"/>
      <c r="H8" s="437"/>
      <c r="I8" s="437"/>
      <c r="K8" s="468" t="s">
        <v>561</v>
      </c>
      <c r="L8" s="468"/>
      <c r="M8" s="469"/>
      <c r="N8" s="469"/>
      <c r="O8" s="470"/>
      <c r="P8" s="469"/>
      <c r="Q8" s="471"/>
      <c r="R8" s="472"/>
      <c r="S8" s="473"/>
      <c r="T8" s="471"/>
      <c r="U8" s="473"/>
      <c r="V8" s="469"/>
    </row>
    <row r="9" spans="2:22" s="487" customFormat="1" ht="37.5" customHeight="1" thickBot="1" x14ac:dyDescent="0.25">
      <c r="B9" s="485" t="s">
        <v>318</v>
      </c>
      <c r="C9" s="485" t="s">
        <v>319</v>
      </c>
      <c r="D9" s="485" t="s">
        <v>320</v>
      </c>
      <c r="E9" s="485" t="s">
        <v>322</v>
      </c>
      <c r="F9" s="485" t="s">
        <v>354</v>
      </c>
      <c r="G9" s="485" t="s">
        <v>9</v>
      </c>
      <c r="H9" s="485" t="s">
        <v>323</v>
      </c>
      <c r="I9" s="485" t="s">
        <v>324</v>
      </c>
      <c r="J9" s="486"/>
      <c r="K9" s="499" t="s">
        <v>221</v>
      </c>
      <c r="L9" s="499" t="s">
        <v>316</v>
      </c>
      <c r="M9" s="499" t="s">
        <v>317</v>
      </c>
      <c r="N9" s="499" t="s">
        <v>318</v>
      </c>
      <c r="O9" s="499" t="s">
        <v>319</v>
      </c>
      <c r="P9" s="499" t="s">
        <v>320</v>
      </c>
      <c r="Q9" s="499" t="s">
        <v>321</v>
      </c>
      <c r="R9" s="499" t="s">
        <v>322</v>
      </c>
      <c r="S9" s="499" t="s">
        <v>9</v>
      </c>
      <c r="T9" s="499" t="s">
        <v>323</v>
      </c>
      <c r="U9" s="499" t="s">
        <v>324</v>
      </c>
      <c r="V9" s="499" t="s">
        <v>325</v>
      </c>
    </row>
    <row r="10" spans="2:22" ht="18.75" customHeight="1" thickTop="1" x14ac:dyDescent="0.2">
      <c r="B10" s="449" t="str" cm="1">
        <f t="array" ref="B10:I35">PurchaseSummary(PurchaseSource)</f>
        <v>Катушка</v>
      </c>
      <c r="C10" s="450">
        <v>0.21470901386382246</v>
      </c>
      <c r="D10" s="449" t="str">
        <v>мГн</v>
      </c>
      <c r="E10" s="449" t="str">
        <v/>
      </c>
      <c r="F10" s="450">
        <v>2</v>
      </c>
      <c r="G10" s="451">
        <v>1.4</v>
      </c>
      <c r="H10" s="452">
        <v>73</v>
      </c>
      <c r="I10" s="449" t="str">
        <v>35/17,5</v>
      </c>
      <c r="J10" s="438"/>
      <c r="K10" s="489" t="str" cm="1">
        <f t="array" ref="K10:V34">_xlfn.LET(_xlpm.x,_xlfn._xlws.FILTER(DATA_Ведомости!$B$2:$M$40,DATA_Ведомости!$A$2:$A$40=1,"Нет выбранных компонентов"),IF(_xlpm.x="","",_xlpm.x))</f>
        <v>НЧ</v>
      </c>
      <c r="L10" s="490" t="str">
        <v>Кроссовер НЧ</v>
      </c>
      <c r="M10" s="490" t="str">
        <v>C1</v>
      </c>
      <c r="N10" s="490" t="str">
        <v>Конденсатор</v>
      </c>
      <c r="O10" s="491">
        <v>10</v>
      </c>
      <c r="P10" s="492" t="str">
        <v>мкФ</v>
      </c>
      <c r="Q10" s="493">
        <v>2</v>
      </c>
      <c r="R10" s="494" t="str">
        <v>63 В</v>
      </c>
      <c r="S10" s="495" t="str">
        <v/>
      </c>
      <c r="T10" s="496" t="str">
        <v/>
      </c>
      <c r="U10" s="497" t="str">
        <v/>
      </c>
      <c r="V10" s="498" t="str">
        <v/>
      </c>
    </row>
    <row r="11" spans="2:22" ht="18.75" customHeight="1" x14ac:dyDescent="0.2">
      <c r="B11" s="453" t="str">
        <v>Катушка</v>
      </c>
      <c r="C11" s="454">
        <v>0.35242641164516303</v>
      </c>
      <c r="D11" s="453" t="str">
        <v>мГн</v>
      </c>
      <c r="E11" s="453" t="str">
        <v/>
      </c>
      <c r="F11" s="454">
        <v>2</v>
      </c>
      <c r="G11" s="455">
        <v>2</v>
      </c>
      <c r="H11" s="456">
        <v>78</v>
      </c>
      <c r="I11" s="453" t="str">
        <v>50/25</v>
      </c>
      <c r="J11" s="438"/>
      <c r="K11" s="474" t="str">
        <v>НЧ</v>
      </c>
      <c r="L11" s="475" t="str">
        <v>Кроссовер НЧ</v>
      </c>
      <c r="M11" s="475" t="str">
        <v>C2</v>
      </c>
      <c r="N11" s="475" t="str">
        <v>Конденсатор</v>
      </c>
      <c r="O11" s="464">
        <v>2.2000000000000002</v>
      </c>
      <c r="P11" s="476" t="str">
        <v>мкФ</v>
      </c>
      <c r="Q11" s="465">
        <v>2</v>
      </c>
      <c r="R11" s="477" t="str">
        <v>63 В</v>
      </c>
      <c r="S11" s="466" t="str">
        <v/>
      </c>
      <c r="T11" s="467" t="str">
        <v/>
      </c>
      <c r="U11" s="478" t="str">
        <v/>
      </c>
      <c r="V11" s="479" t="str">
        <v/>
      </c>
    </row>
    <row r="12" spans="2:22" ht="18.75" customHeight="1" x14ac:dyDescent="0.2">
      <c r="B12" s="453" t="str">
        <v>Катушка</v>
      </c>
      <c r="C12" s="454">
        <v>0.44858847539405777</v>
      </c>
      <c r="D12" s="453" t="str">
        <v>мГн</v>
      </c>
      <c r="E12" s="453" t="str">
        <v/>
      </c>
      <c r="F12" s="454">
        <v>2</v>
      </c>
      <c r="G12" s="455">
        <v>1.4</v>
      </c>
      <c r="H12" s="456">
        <v>99</v>
      </c>
      <c r="I12" s="453" t="str">
        <v>40/20</v>
      </c>
      <c r="J12" s="438"/>
      <c r="K12" s="474" t="str">
        <v>НЧ</v>
      </c>
      <c r="L12" s="475" t="str">
        <v>Кроссовер НЧ</v>
      </c>
      <c r="M12" s="475" t="str">
        <v>L1</v>
      </c>
      <c r="N12" s="475" t="str">
        <v>Катушка</v>
      </c>
      <c r="O12" s="464">
        <v>0.6978042950574227</v>
      </c>
      <c r="P12" s="476" t="str">
        <v>мГн</v>
      </c>
      <c r="Q12" s="465">
        <v>2</v>
      </c>
      <c r="R12" s="477" t="str">
        <v/>
      </c>
      <c r="S12" s="466">
        <v>2</v>
      </c>
      <c r="T12" s="467">
        <v>107</v>
      </c>
      <c r="U12" s="478" t="str">
        <v>50/25</v>
      </c>
      <c r="V12" s="479" t="str">
        <v>h=21,1 мм; DCR=0,131 Ом; 23,9 м/шт; всего 47,8 м</v>
      </c>
    </row>
    <row r="13" spans="2:22" ht="18.75" customHeight="1" x14ac:dyDescent="0.2">
      <c r="B13" s="453" t="str">
        <v>Катушка</v>
      </c>
      <c r="C13" s="454">
        <v>0.6978042950574227</v>
      </c>
      <c r="D13" s="453" t="str">
        <v>мГн</v>
      </c>
      <c r="E13" s="453" t="str">
        <v/>
      </c>
      <c r="F13" s="454">
        <v>2</v>
      </c>
      <c r="G13" s="455">
        <v>2</v>
      </c>
      <c r="H13" s="456">
        <v>107</v>
      </c>
      <c r="I13" s="453" t="str">
        <v>50/25</v>
      </c>
      <c r="J13" s="438"/>
      <c r="K13" s="474" t="str">
        <v>НЧ</v>
      </c>
      <c r="L13" s="475" t="str">
        <v>Кроссовер НЧ</v>
      </c>
      <c r="M13" s="475" t="str">
        <v>L2</v>
      </c>
      <c r="N13" s="475" t="str">
        <v>Катушка</v>
      </c>
      <c r="O13" s="464">
        <v>0.35242641164516303</v>
      </c>
      <c r="P13" s="476" t="str">
        <v>мГн</v>
      </c>
      <c r="Q13" s="465">
        <v>2</v>
      </c>
      <c r="R13" s="477" t="str">
        <v/>
      </c>
      <c r="S13" s="466">
        <v>2</v>
      </c>
      <c r="T13" s="467">
        <v>78</v>
      </c>
      <c r="U13" s="478" t="str">
        <v>50/25</v>
      </c>
      <c r="V13" s="479" t="str">
        <v>h=16,9 мм; DCR=0,09 Ом; 16,4 м/шт; всего 32,8 м</v>
      </c>
    </row>
    <row r="14" spans="2:22" ht="18.75" customHeight="1" x14ac:dyDescent="0.2">
      <c r="B14" s="453" t="str">
        <v>Катушка</v>
      </c>
      <c r="C14" s="454">
        <v>0.70361933084956774</v>
      </c>
      <c r="D14" s="453" t="str">
        <v>мГн</v>
      </c>
      <c r="E14" s="453" t="str">
        <v/>
      </c>
      <c r="F14" s="454">
        <v>2</v>
      </c>
      <c r="G14" s="455">
        <v>2</v>
      </c>
      <c r="H14" s="456">
        <v>108</v>
      </c>
      <c r="I14" s="453" t="str">
        <v>50/25</v>
      </c>
      <c r="J14" s="438"/>
      <c r="K14" s="474" t="str">
        <v>НЧ</v>
      </c>
      <c r="L14" s="475" t="str">
        <v>Цобель</v>
      </c>
      <c r="M14" s="475" t="str">
        <v>Cz</v>
      </c>
      <c r="N14" s="475" t="str">
        <v>Конденсатор</v>
      </c>
      <c r="O14" s="464">
        <v>5.6</v>
      </c>
      <c r="P14" s="476" t="str">
        <v>мкФ</v>
      </c>
      <c r="Q14" s="465">
        <v>2</v>
      </c>
      <c r="R14" s="477" t="str">
        <v>63 В</v>
      </c>
      <c r="S14" s="466" t="str">
        <v/>
      </c>
      <c r="T14" s="467" t="str">
        <v/>
      </c>
      <c r="U14" s="478" t="str">
        <v/>
      </c>
      <c r="V14" s="479" t="str">
        <v/>
      </c>
    </row>
    <row r="15" spans="2:22" ht="18.75" customHeight="1" x14ac:dyDescent="0.2">
      <c r="B15" s="453" t="str">
        <v>Катушка</v>
      </c>
      <c r="C15" s="454">
        <v>3.1662869888230554</v>
      </c>
      <c r="D15" s="453" t="str">
        <v>мГн</v>
      </c>
      <c r="E15" s="453" t="str">
        <v/>
      </c>
      <c r="F15" s="454">
        <v>2</v>
      </c>
      <c r="G15" s="455">
        <v>1.4</v>
      </c>
      <c r="H15" s="456">
        <v>213</v>
      </c>
      <c r="I15" s="453" t="str">
        <v>60/30</v>
      </c>
      <c r="J15" s="438"/>
      <c r="K15" s="474" t="str">
        <v>НЧ</v>
      </c>
      <c r="L15" s="475" t="str">
        <v>Цобель</v>
      </c>
      <c r="M15" s="475" t="str">
        <v>Rz</v>
      </c>
      <c r="N15" s="475" t="str">
        <v>Резистор</v>
      </c>
      <c r="O15" s="464">
        <v>9.1</v>
      </c>
      <c r="P15" s="476" t="str">
        <v>Ом</v>
      </c>
      <c r="Q15" s="465">
        <v>2</v>
      </c>
      <c r="R15" s="477" t="str">
        <v>5 Вт мин.</v>
      </c>
      <c r="S15" s="466" t="str">
        <v/>
      </c>
      <c r="T15" s="467" t="str">
        <v/>
      </c>
      <c r="U15" s="478" t="str">
        <v/>
      </c>
      <c r="V15" s="479" t="str">
        <v/>
      </c>
    </row>
    <row r="16" spans="2:22" ht="18.75" customHeight="1" x14ac:dyDescent="0.2">
      <c r="B16" s="453" t="str">
        <v>Катушка</v>
      </c>
      <c r="C16" s="454">
        <v>16.02859817925949</v>
      </c>
      <c r="D16" s="453" t="str">
        <v>мГн</v>
      </c>
      <c r="E16" s="453" t="str">
        <v/>
      </c>
      <c r="F16" s="454">
        <v>2</v>
      </c>
      <c r="G16" s="455">
        <v>1.4</v>
      </c>
      <c r="H16" s="456">
        <v>434</v>
      </c>
      <c r="I16" s="453" t="str">
        <v>70/35</v>
      </c>
      <c r="J16" s="438"/>
      <c r="K16" s="474" t="str">
        <v>НЧ</v>
      </c>
      <c r="L16" s="475" t="str">
        <v>Режектор</v>
      </c>
      <c r="M16" s="475" t="str">
        <v>Cn</v>
      </c>
      <c r="N16" s="475" t="str">
        <v>Конденсатор</v>
      </c>
      <c r="O16" s="464">
        <v>750</v>
      </c>
      <c r="P16" s="476" t="str">
        <v>мкФ</v>
      </c>
      <c r="Q16" s="465">
        <v>2</v>
      </c>
      <c r="R16" s="477" t="str">
        <v>100 В</v>
      </c>
      <c r="S16" s="466" t="str">
        <v/>
      </c>
      <c r="T16" s="467" t="str">
        <v/>
      </c>
      <c r="U16" s="478" t="str">
        <v/>
      </c>
      <c r="V16" s="479" t="str">
        <v/>
      </c>
    </row>
    <row r="17" spans="2:22" ht="18.75" customHeight="1" x14ac:dyDescent="0.2">
      <c r="B17" s="453" t="str">
        <v>Конденсатор</v>
      </c>
      <c r="C17" s="454">
        <v>0.39</v>
      </c>
      <c r="D17" s="453" t="str">
        <v>мкФ</v>
      </c>
      <c r="E17" s="453" t="str">
        <v>63 В</v>
      </c>
      <c r="F17" s="454">
        <v>2</v>
      </c>
      <c r="G17" s="455" t="str">
        <v/>
      </c>
      <c r="H17" s="456" t="str">
        <v/>
      </c>
      <c r="I17" s="453" t="str">
        <v/>
      </c>
      <c r="J17" s="438"/>
      <c r="K17" s="474" t="str">
        <v>НЧ</v>
      </c>
      <c r="L17" s="475" t="str">
        <v>Режектор</v>
      </c>
      <c r="M17" s="475" t="str">
        <v>Rn</v>
      </c>
      <c r="N17" s="475" t="str">
        <v>Резистор</v>
      </c>
      <c r="O17" s="464">
        <v>6.2</v>
      </c>
      <c r="P17" s="476" t="str">
        <v>Ом</v>
      </c>
      <c r="Q17" s="465">
        <v>2</v>
      </c>
      <c r="R17" s="477" t="str">
        <v>20 Вт мин.</v>
      </c>
      <c r="S17" s="466" t="str">
        <v/>
      </c>
      <c r="T17" s="467" t="str">
        <v/>
      </c>
      <c r="U17" s="478" t="str">
        <v/>
      </c>
      <c r="V17" s="479" t="str">
        <v/>
      </c>
    </row>
    <row r="18" spans="2:22" ht="18.75" customHeight="1" x14ac:dyDescent="0.2">
      <c r="B18" s="453" t="str">
        <v>Конденсатор</v>
      </c>
      <c r="C18" s="454">
        <v>1.3</v>
      </c>
      <c r="D18" s="453" t="str">
        <v>мкФ</v>
      </c>
      <c r="E18" s="453" t="str">
        <v>63 В</v>
      </c>
      <c r="F18" s="454">
        <v>2</v>
      </c>
      <c r="G18" s="455" t="str">
        <v/>
      </c>
      <c r="H18" s="456" t="str">
        <v/>
      </c>
      <c r="I18" s="453" t="str">
        <v/>
      </c>
      <c r="J18" s="438"/>
      <c r="K18" s="474" t="str">
        <v>НЧ</v>
      </c>
      <c r="L18" s="475" t="str">
        <v>Режектор</v>
      </c>
      <c r="M18" s="475" t="str">
        <v>Ln</v>
      </c>
      <c r="N18" s="475" t="str">
        <v>Катушка</v>
      </c>
      <c r="O18" s="464">
        <v>16.02859817925949</v>
      </c>
      <c r="P18" s="476" t="str">
        <v>мГн</v>
      </c>
      <c r="Q18" s="465">
        <v>2</v>
      </c>
      <c r="R18" s="477" t="str">
        <v/>
      </c>
      <c r="S18" s="466">
        <v>1.4</v>
      </c>
      <c r="T18" s="467">
        <v>434</v>
      </c>
      <c r="U18" s="478" t="str">
        <v>70/35</v>
      </c>
      <c r="V18" s="479" t="str">
        <v>h=28,5 мм; DCR=1,505 Ом; 134,4 м/шт; всего 268,7 м</v>
      </c>
    </row>
    <row r="19" spans="2:22" ht="18.75" customHeight="1" x14ac:dyDescent="0.2">
      <c r="B19" s="453" t="str">
        <v>Конденсатор</v>
      </c>
      <c r="C19" s="454">
        <v>2.2000000000000002</v>
      </c>
      <c r="D19" s="453" t="str">
        <v>мкФ</v>
      </c>
      <c r="E19" s="453" t="str">
        <v>63 В</v>
      </c>
      <c r="F19" s="454">
        <v>2</v>
      </c>
      <c r="G19" s="455" t="str">
        <v/>
      </c>
      <c r="H19" s="456" t="str">
        <v/>
      </c>
      <c r="I19" s="453" t="str">
        <v/>
      </c>
      <c r="J19" s="438"/>
      <c r="K19" s="474" t="str">
        <v>СЧ</v>
      </c>
      <c r="L19" s="475" t="str">
        <v>Кроссовер СЧ низ</v>
      </c>
      <c r="M19" s="475" t="str">
        <v>C1 HP</v>
      </c>
      <c r="N19" s="475" t="str">
        <v>Конденсатор</v>
      </c>
      <c r="O19" s="464">
        <v>12</v>
      </c>
      <c r="P19" s="476" t="str">
        <v>мкФ</v>
      </c>
      <c r="Q19" s="465">
        <v>2</v>
      </c>
      <c r="R19" s="477" t="str">
        <v>63 В</v>
      </c>
      <c r="S19" s="466" t="str">
        <v/>
      </c>
      <c r="T19" s="467" t="str">
        <v/>
      </c>
      <c r="U19" s="478" t="str">
        <v/>
      </c>
      <c r="V19" s="479" t="str">
        <v/>
      </c>
    </row>
    <row r="20" spans="2:22" ht="18.75" customHeight="1" x14ac:dyDescent="0.2">
      <c r="B20" s="453" t="str">
        <v>Конденсатор</v>
      </c>
      <c r="C20" s="454">
        <v>4.3</v>
      </c>
      <c r="D20" s="453" t="str">
        <v>мкФ</v>
      </c>
      <c r="E20" s="453" t="str">
        <v>63 В</v>
      </c>
      <c r="F20" s="454">
        <v>2</v>
      </c>
      <c r="G20" s="455" t="str">
        <v/>
      </c>
      <c r="H20" s="456" t="str">
        <v/>
      </c>
      <c r="I20" s="453" t="str">
        <v/>
      </c>
      <c r="J20" s="438"/>
      <c r="K20" s="474" t="str">
        <v>СЧ</v>
      </c>
      <c r="L20" s="475" t="str">
        <v>Кроссовер СЧ низ</v>
      </c>
      <c r="M20" s="475" t="str">
        <v>C2 HP</v>
      </c>
      <c r="N20" s="475" t="str">
        <v>Конденсатор</v>
      </c>
      <c r="O20" s="464">
        <v>24</v>
      </c>
      <c r="P20" s="476" t="str">
        <v>мкФ</v>
      </c>
      <c r="Q20" s="465">
        <v>2</v>
      </c>
      <c r="R20" s="477" t="str">
        <v>63 В</v>
      </c>
      <c r="S20" s="466" t="str">
        <v/>
      </c>
      <c r="T20" s="467" t="str">
        <v/>
      </c>
      <c r="U20" s="478" t="str">
        <v/>
      </c>
      <c r="V20" s="479" t="str">
        <v/>
      </c>
    </row>
    <row r="21" spans="2:22" ht="18.75" customHeight="1" x14ac:dyDescent="0.2">
      <c r="B21" s="453" t="str">
        <v>Конденсатор</v>
      </c>
      <c r="C21" s="454">
        <v>5.6</v>
      </c>
      <c r="D21" s="453" t="str">
        <v>мкФ</v>
      </c>
      <c r="E21" s="453" t="str">
        <v>63 В</v>
      </c>
      <c r="F21" s="454">
        <v>4</v>
      </c>
      <c r="G21" s="455" t="str">
        <v/>
      </c>
      <c r="H21" s="456" t="str">
        <v/>
      </c>
      <c r="I21" s="453" t="str">
        <v/>
      </c>
      <c r="J21" s="438"/>
      <c r="K21" s="474" t="str">
        <v>СЧ</v>
      </c>
      <c r="L21" s="475" t="str">
        <v>Кроссовер СЧ низ</v>
      </c>
      <c r="M21" s="475" t="str">
        <v>L1 HP</v>
      </c>
      <c r="N21" s="475" t="str">
        <v>Катушка</v>
      </c>
      <c r="O21" s="464">
        <v>0.70361933084956774</v>
      </c>
      <c r="P21" s="476" t="str">
        <v>мГн</v>
      </c>
      <c r="Q21" s="465">
        <v>2</v>
      </c>
      <c r="R21" s="477" t="str">
        <v/>
      </c>
      <c r="S21" s="466">
        <v>2</v>
      </c>
      <c r="T21" s="467">
        <v>108</v>
      </c>
      <c r="U21" s="478" t="str">
        <v>50/25</v>
      </c>
      <c r="V21" s="479" t="str">
        <v>h=21,1 мм; DCR=0,132 Ом; 24,1 м/шт; всего 48,3 м</v>
      </c>
    </row>
    <row r="22" spans="2:22" ht="18.75" customHeight="1" x14ac:dyDescent="0.2">
      <c r="B22" s="453" t="str">
        <v>Конденсатор</v>
      </c>
      <c r="C22" s="454">
        <v>10</v>
      </c>
      <c r="D22" s="453" t="str">
        <v>мкФ</v>
      </c>
      <c r="E22" s="453" t="str">
        <v>63 В</v>
      </c>
      <c r="F22" s="454">
        <v>2</v>
      </c>
      <c r="G22" s="455" t="str">
        <v/>
      </c>
      <c r="H22" s="456" t="str">
        <v/>
      </c>
      <c r="I22" s="453" t="str">
        <v/>
      </c>
      <c r="J22" s="438"/>
      <c r="K22" s="474" t="str">
        <v>СЧ</v>
      </c>
      <c r="L22" s="475" t="str">
        <v>Кроссовер СЧ низ</v>
      </c>
      <c r="M22" s="475" t="str">
        <v>L2 HP</v>
      </c>
      <c r="N22" s="475" t="str">
        <v>Катушка</v>
      </c>
      <c r="O22" s="464">
        <v>3.1662869888230554</v>
      </c>
      <c r="P22" s="476" t="str">
        <v>мГн</v>
      </c>
      <c r="Q22" s="465">
        <v>2</v>
      </c>
      <c r="R22" s="477" t="str">
        <v/>
      </c>
      <c r="S22" s="466">
        <v>1.4</v>
      </c>
      <c r="T22" s="467">
        <v>213</v>
      </c>
      <c r="U22" s="478" t="str">
        <v>60/30</v>
      </c>
      <c r="V22" s="479" t="str">
        <v>h=18 мм; DCR=0,585 Ом; 52,2 м/шт; всего 104,4 м</v>
      </c>
    </row>
    <row r="23" spans="2:22" ht="18.75" customHeight="1" x14ac:dyDescent="0.2">
      <c r="B23" s="453" t="str">
        <v>Конденсатор</v>
      </c>
      <c r="C23" s="454">
        <v>12</v>
      </c>
      <c r="D23" s="453" t="str">
        <v>мкФ</v>
      </c>
      <c r="E23" s="453" t="str">
        <v>63 В</v>
      </c>
      <c r="F23" s="454">
        <v>2</v>
      </c>
      <c r="G23" s="455" t="str">
        <v/>
      </c>
      <c r="H23" s="456" t="str">
        <v/>
      </c>
      <c r="I23" s="453" t="str">
        <v/>
      </c>
      <c r="J23" s="438"/>
      <c r="K23" s="474" t="str">
        <v>СЧ</v>
      </c>
      <c r="L23" s="475" t="str">
        <v>Кроссовер СЧ верх</v>
      </c>
      <c r="M23" s="475" t="str">
        <v>C1 LP</v>
      </c>
      <c r="N23" s="475" t="str">
        <v>Конденсатор</v>
      </c>
      <c r="O23" s="464">
        <v>5.6</v>
      </c>
      <c r="P23" s="476" t="str">
        <v>мкФ</v>
      </c>
      <c r="Q23" s="465">
        <v>2</v>
      </c>
      <c r="R23" s="477" t="str">
        <v>63 В</v>
      </c>
      <c r="S23" s="466" t="str">
        <v/>
      </c>
      <c r="T23" s="467" t="str">
        <v/>
      </c>
      <c r="U23" s="478" t="str">
        <v/>
      </c>
      <c r="V23" s="479" t="str">
        <v/>
      </c>
    </row>
    <row r="24" spans="2:22" ht="18.75" customHeight="1" x14ac:dyDescent="0.2">
      <c r="B24" s="453" t="str">
        <v>Конденсатор</v>
      </c>
      <c r="C24" s="454">
        <v>24</v>
      </c>
      <c r="D24" s="453" t="str">
        <v>мкФ</v>
      </c>
      <c r="E24" s="453" t="str">
        <v>63 В</v>
      </c>
      <c r="F24" s="454">
        <v>2</v>
      </c>
      <c r="G24" s="455" t="str">
        <v/>
      </c>
      <c r="H24" s="456" t="str">
        <v/>
      </c>
      <c r="I24" s="453" t="str">
        <v/>
      </c>
      <c r="J24" s="438"/>
      <c r="K24" s="474" t="str">
        <v>СЧ</v>
      </c>
      <c r="L24" s="475" t="str">
        <v>Кроссовер СЧ верх</v>
      </c>
      <c r="M24" s="475" t="str">
        <v>C2 LP</v>
      </c>
      <c r="N24" s="475" t="str">
        <v>Конденсатор</v>
      </c>
      <c r="O24" s="464">
        <v>1.3</v>
      </c>
      <c r="P24" s="476" t="str">
        <v>мкФ</v>
      </c>
      <c r="Q24" s="465">
        <v>2</v>
      </c>
      <c r="R24" s="477" t="str">
        <v>63 В</v>
      </c>
      <c r="S24" s="466" t="str">
        <v/>
      </c>
      <c r="T24" s="467" t="str">
        <v/>
      </c>
      <c r="U24" s="478" t="str">
        <v/>
      </c>
      <c r="V24" s="479" t="str">
        <v/>
      </c>
    </row>
    <row r="25" spans="2:22" ht="18.75" customHeight="1" x14ac:dyDescent="0.2">
      <c r="B25" s="453" t="str">
        <v>Конденсатор</v>
      </c>
      <c r="C25" s="454">
        <v>750</v>
      </c>
      <c r="D25" s="453" t="str">
        <v>мкФ</v>
      </c>
      <c r="E25" s="453" t="str">
        <v>100 В</v>
      </c>
      <c r="F25" s="454">
        <v>2</v>
      </c>
      <c r="G25" s="455" t="str">
        <v/>
      </c>
      <c r="H25" s="456" t="str">
        <v/>
      </c>
      <c r="I25" s="453" t="str">
        <v/>
      </c>
      <c r="J25" s="438"/>
      <c r="K25" s="474" t="str">
        <v>СЧ</v>
      </c>
      <c r="L25" s="475" t="str">
        <v>Кроссовер СЧ верх</v>
      </c>
      <c r="M25" s="475" t="str">
        <v>L1 LP</v>
      </c>
      <c r="N25" s="475" t="str">
        <v>Катушка</v>
      </c>
      <c r="O25" s="464">
        <v>0.44858847539405777</v>
      </c>
      <c r="P25" s="476" t="str">
        <v>мГн</v>
      </c>
      <c r="Q25" s="465">
        <v>2</v>
      </c>
      <c r="R25" s="477" t="str">
        <v/>
      </c>
      <c r="S25" s="466">
        <v>1.4</v>
      </c>
      <c r="T25" s="467">
        <v>99</v>
      </c>
      <c r="U25" s="478" t="str">
        <v>40/20</v>
      </c>
      <c r="V25" s="479" t="str">
        <v>h=12 мм; DCR=0,181 Ом; 16,2 м/шт; всего 32,4 м</v>
      </c>
    </row>
    <row r="26" spans="2:22" ht="18.75" customHeight="1" x14ac:dyDescent="0.2">
      <c r="B26" s="453" t="str">
        <v>Резистор</v>
      </c>
      <c r="C26" s="454">
        <v>1.8</v>
      </c>
      <c r="D26" s="453" t="str">
        <v>Ом</v>
      </c>
      <c r="E26" s="453" t="str">
        <v>10 Вт мин.</v>
      </c>
      <c r="F26" s="454">
        <v>2</v>
      </c>
      <c r="G26" s="455" t="str">
        <v/>
      </c>
      <c r="H26" s="456" t="str">
        <v/>
      </c>
      <c r="I26" s="453" t="str">
        <v/>
      </c>
      <c r="J26" s="438"/>
      <c r="K26" s="474" t="str">
        <v>СЧ</v>
      </c>
      <c r="L26" s="475" t="str">
        <v>Кроссовер СЧ верх</v>
      </c>
      <c r="M26" s="475" t="str">
        <v>L2 LP</v>
      </c>
      <c r="N26" s="475" t="str">
        <v>Катушка</v>
      </c>
      <c r="O26" s="464">
        <v>0.21470901386382246</v>
      </c>
      <c r="P26" s="476" t="str">
        <v>мГн</v>
      </c>
      <c r="Q26" s="465">
        <v>2</v>
      </c>
      <c r="R26" s="477" t="str">
        <v/>
      </c>
      <c r="S26" s="466">
        <v>1.4</v>
      </c>
      <c r="T26" s="467">
        <v>73</v>
      </c>
      <c r="U26" s="478" t="str">
        <v>35/17,5</v>
      </c>
      <c r="V26" s="479" t="str">
        <v>h=10,5 мм; DCR=0,117 Ом; 10,4 м/шт; всего 20,9 м</v>
      </c>
    </row>
    <row r="27" spans="2:22" ht="18.75" customHeight="1" x14ac:dyDescent="0.2">
      <c r="B27" s="453" t="str">
        <v>Резистор</v>
      </c>
      <c r="C27" s="454">
        <v>2.7</v>
      </c>
      <c r="D27" s="453" t="str">
        <v>Ом</v>
      </c>
      <c r="E27" s="453" t="str">
        <v>5 Вт мин.</v>
      </c>
      <c r="F27" s="454">
        <v>2</v>
      </c>
      <c r="G27" s="455" t="str">
        <v/>
      </c>
      <c r="H27" s="456" t="str">
        <v/>
      </c>
      <c r="I27" s="453" t="str">
        <v/>
      </c>
      <c r="J27" s="438"/>
      <c r="K27" s="474" t="str">
        <v>СЧ</v>
      </c>
      <c r="L27" s="475" t="str">
        <v>Аттенюатор</v>
      </c>
      <c r="M27" s="475" t="str">
        <v>RA1 посл.</v>
      </c>
      <c r="N27" s="475" t="str">
        <v>Резистор</v>
      </c>
      <c r="O27" s="464">
        <v>1.8</v>
      </c>
      <c r="P27" s="476" t="str">
        <v>Ом</v>
      </c>
      <c r="Q27" s="465">
        <v>2</v>
      </c>
      <c r="R27" s="477" t="str">
        <v>10 Вт мин.</v>
      </c>
      <c r="S27" s="466" t="str">
        <v/>
      </c>
      <c r="T27" s="467" t="str">
        <v/>
      </c>
      <c r="U27" s="478" t="str">
        <v/>
      </c>
      <c r="V27" s="479" t="str">
        <v/>
      </c>
    </row>
    <row r="28" spans="2:22" ht="18.75" customHeight="1" x14ac:dyDescent="0.2">
      <c r="B28" s="453" t="str">
        <v>Резистор</v>
      </c>
      <c r="C28" s="454">
        <v>6.2</v>
      </c>
      <c r="D28" s="453" t="str">
        <v>Ом</v>
      </c>
      <c r="E28" s="453" t="str">
        <v>20 Вт мин.</v>
      </c>
      <c r="F28" s="454">
        <v>2</v>
      </c>
      <c r="G28" s="455" t="str">
        <v/>
      </c>
      <c r="H28" s="456" t="str">
        <v/>
      </c>
      <c r="I28" s="453" t="str">
        <v/>
      </c>
      <c r="J28" s="438"/>
      <c r="K28" s="474" t="str">
        <v>СЧ</v>
      </c>
      <c r="L28" s="475" t="str">
        <v>Аттенюатор</v>
      </c>
      <c r="M28" s="475" t="str">
        <v>RA2 паралл.</v>
      </c>
      <c r="N28" s="475" t="str">
        <v>Резистор</v>
      </c>
      <c r="O28" s="464">
        <v>15</v>
      </c>
      <c r="P28" s="476" t="str">
        <v>Ом</v>
      </c>
      <c r="Q28" s="465">
        <v>2</v>
      </c>
      <c r="R28" s="477" t="str">
        <v>10 Вт мин.</v>
      </c>
      <c r="S28" s="466" t="str">
        <v/>
      </c>
      <c r="T28" s="467" t="str">
        <v/>
      </c>
      <c r="U28" s="478" t="str">
        <v/>
      </c>
      <c r="V28" s="479" t="str">
        <v/>
      </c>
    </row>
    <row r="29" spans="2:22" ht="18.75" customHeight="1" x14ac:dyDescent="0.2">
      <c r="B29" s="453" t="str">
        <v>Резистор</v>
      </c>
      <c r="C29" s="454">
        <v>6.8</v>
      </c>
      <c r="D29" s="453" t="str">
        <v>Ом</v>
      </c>
      <c r="E29" s="453" t="str">
        <v>5 Вт мин.</v>
      </c>
      <c r="F29" s="454">
        <v>2</v>
      </c>
      <c r="G29" s="455" t="str">
        <v/>
      </c>
      <c r="H29" s="456" t="str">
        <v/>
      </c>
      <c r="I29" s="453" t="str">
        <v/>
      </c>
      <c r="J29" s="438"/>
      <c r="K29" s="474" t="str">
        <v>СЧ</v>
      </c>
      <c r="L29" s="475" t="str">
        <v>Цобель</v>
      </c>
      <c r="M29" s="475" t="str">
        <v>Cz</v>
      </c>
      <c r="N29" s="475" t="str">
        <v>Конденсатор</v>
      </c>
      <c r="O29" s="464">
        <v>4.3</v>
      </c>
      <c r="P29" s="476" t="str">
        <v>мкФ</v>
      </c>
      <c r="Q29" s="465">
        <v>2</v>
      </c>
      <c r="R29" s="477" t="str">
        <v>63 В</v>
      </c>
      <c r="S29" s="466" t="str">
        <v/>
      </c>
      <c r="T29" s="467" t="str">
        <v/>
      </c>
      <c r="U29" s="478" t="str">
        <v/>
      </c>
      <c r="V29" s="479" t="str">
        <v/>
      </c>
    </row>
    <row r="30" spans="2:22" ht="18.75" customHeight="1" x14ac:dyDescent="0.2">
      <c r="B30" s="453" t="str">
        <v>Резистор</v>
      </c>
      <c r="C30" s="454">
        <v>7.5</v>
      </c>
      <c r="D30" s="453" t="str">
        <v>Ом</v>
      </c>
      <c r="E30" s="453" t="str">
        <v>5 Вт мин.</v>
      </c>
      <c r="F30" s="454">
        <v>2</v>
      </c>
      <c r="G30" s="455" t="str">
        <v/>
      </c>
      <c r="H30" s="456" t="str">
        <v/>
      </c>
      <c r="I30" s="453" t="str">
        <v/>
      </c>
      <c r="J30" s="438"/>
      <c r="K30" s="474" t="str">
        <v>СЧ</v>
      </c>
      <c r="L30" s="475" t="str">
        <v>Цобель</v>
      </c>
      <c r="M30" s="475" t="str">
        <v>Rz</v>
      </c>
      <c r="N30" s="475" t="str">
        <v>Резистор</v>
      </c>
      <c r="O30" s="464">
        <v>7.5</v>
      </c>
      <c r="P30" s="476" t="str">
        <v>Ом</v>
      </c>
      <c r="Q30" s="465">
        <v>2</v>
      </c>
      <c r="R30" s="477" t="str">
        <v>5 Вт мин.</v>
      </c>
      <c r="S30" s="466" t="str">
        <v/>
      </c>
      <c r="T30" s="467" t="str">
        <v/>
      </c>
      <c r="U30" s="478" t="str">
        <v/>
      </c>
      <c r="V30" s="479" t="str">
        <v/>
      </c>
    </row>
    <row r="31" spans="2:22" ht="18.75" customHeight="1" x14ac:dyDescent="0.2">
      <c r="B31" s="453" t="str">
        <v>Резистор</v>
      </c>
      <c r="C31" s="454">
        <v>8.1999999999999993</v>
      </c>
      <c r="D31" s="453" t="str">
        <v>Ом</v>
      </c>
      <c r="E31" s="453" t="str">
        <v>5 Вт мин.</v>
      </c>
      <c r="F31" s="454">
        <v>2</v>
      </c>
      <c r="G31" s="455" t="str">
        <v/>
      </c>
      <c r="H31" s="456" t="str">
        <v/>
      </c>
      <c r="I31" s="453" t="str">
        <v/>
      </c>
      <c r="J31" s="438"/>
      <c r="K31" s="474" t="str">
        <v>ВЧ</v>
      </c>
      <c r="L31" s="475" t="str">
        <v>Аттенюатор</v>
      </c>
      <c r="M31" s="475" t="str">
        <v>RA1 посл.</v>
      </c>
      <c r="N31" s="475" t="str">
        <v>Резистор</v>
      </c>
      <c r="O31" s="464">
        <v>2.7</v>
      </c>
      <c r="P31" s="476" t="str">
        <v>Ом</v>
      </c>
      <c r="Q31" s="465">
        <v>2</v>
      </c>
      <c r="R31" s="477" t="str">
        <v>5 Вт мин.</v>
      </c>
      <c r="S31" s="466" t="str">
        <v/>
      </c>
      <c r="T31" s="467" t="str">
        <v/>
      </c>
      <c r="U31" s="478" t="str">
        <v/>
      </c>
      <c r="V31" s="479" t="str">
        <v/>
      </c>
    </row>
    <row r="32" spans="2:22" ht="18.75" customHeight="1" x14ac:dyDescent="0.2">
      <c r="B32" s="453" t="str">
        <v>Резистор</v>
      </c>
      <c r="C32" s="454">
        <v>9.1</v>
      </c>
      <c r="D32" s="453" t="str">
        <v>Ом</v>
      </c>
      <c r="E32" s="453" t="str">
        <v>5 Вт мин.</v>
      </c>
      <c r="F32" s="454">
        <v>2</v>
      </c>
      <c r="G32" s="455" t="str">
        <v/>
      </c>
      <c r="H32" s="456" t="str">
        <v/>
      </c>
      <c r="I32" s="453" t="str">
        <v/>
      </c>
      <c r="J32" s="438"/>
      <c r="K32" s="474" t="str">
        <v>ВЧ</v>
      </c>
      <c r="L32" s="475" t="str">
        <v>Аттенюатор</v>
      </c>
      <c r="M32" s="475" t="str">
        <v>RA2 паралл.</v>
      </c>
      <c r="N32" s="475" t="str">
        <v>Резистор</v>
      </c>
      <c r="O32" s="464">
        <v>8.1999999999999993</v>
      </c>
      <c r="P32" s="476" t="str">
        <v>Ом</v>
      </c>
      <c r="Q32" s="465">
        <v>2</v>
      </c>
      <c r="R32" s="477" t="str">
        <v>5 Вт мин.</v>
      </c>
      <c r="S32" s="466" t="str">
        <v/>
      </c>
      <c r="T32" s="467" t="str">
        <v/>
      </c>
      <c r="U32" s="478" t="str">
        <v/>
      </c>
      <c r="V32" s="479" t="str">
        <v/>
      </c>
    </row>
    <row r="33" spans="2:22" ht="18.75" customHeight="1" x14ac:dyDescent="0.2">
      <c r="B33" s="453" t="str">
        <v>Резистор</v>
      </c>
      <c r="C33" s="454">
        <v>15</v>
      </c>
      <c r="D33" s="453" t="str">
        <v>Ом</v>
      </c>
      <c r="E33" s="453" t="str">
        <v>10 Вт мин.</v>
      </c>
      <c r="F33" s="454">
        <v>2</v>
      </c>
      <c r="G33" s="455" t="str">
        <v/>
      </c>
      <c r="H33" s="456" t="str">
        <v/>
      </c>
      <c r="I33" s="453" t="str">
        <v/>
      </c>
      <c r="J33" s="438"/>
      <c r="K33" s="474" t="str">
        <v>ВЧ</v>
      </c>
      <c r="L33" s="475" t="str">
        <v>Цобель</v>
      </c>
      <c r="M33" s="475" t="str">
        <v>Cz</v>
      </c>
      <c r="N33" s="475" t="str">
        <v>Конденсатор</v>
      </c>
      <c r="O33" s="464">
        <v>0.39</v>
      </c>
      <c r="P33" s="476" t="str">
        <v>мкФ</v>
      </c>
      <c r="Q33" s="465">
        <v>2</v>
      </c>
      <c r="R33" s="477" t="str">
        <v>63 В</v>
      </c>
      <c r="S33" s="466" t="str">
        <v/>
      </c>
      <c r="T33" s="467" t="str">
        <v/>
      </c>
      <c r="U33" s="478" t="str">
        <v/>
      </c>
      <c r="V33" s="479" t="str">
        <v/>
      </c>
    </row>
    <row r="34" spans="2:22" ht="18.75" customHeight="1" x14ac:dyDescent="0.2">
      <c r="B34" s="453" t="str">
        <v>Провод эмалированный</v>
      </c>
      <c r="C34" s="454">
        <v>1.4</v>
      </c>
      <c r="D34" s="453" t="str">
        <v>мм</v>
      </c>
      <c r="E34" s="453" t="str">
        <v>Общий метраж, м</v>
      </c>
      <c r="F34" s="454">
        <v>426.4</v>
      </c>
      <c r="G34" s="455">
        <v>1.4</v>
      </c>
      <c r="H34" s="456" t="str">
        <v/>
      </c>
      <c r="I34" s="453" t="str">
        <v/>
      </c>
      <c r="J34" s="438"/>
      <c r="K34" s="474" t="str">
        <v>ВЧ</v>
      </c>
      <c r="L34" s="475" t="str">
        <v>Цобель</v>
      </c>
      <c r="M34" s="475" t="str">
        <v>Rz</v>
      </c>
      <c r="N34" s="475" t="str">
        <v>Резистор</v>
      </c>
      <c r="O34" s="464">
        <v>6.8</v>
      </c>
      <c r="P34" s="476" t="str">
        <v>Ом</v>
      </c>
      <c r="Q34" s="465">
        <v>2</v>
      </c>
      <c r="R34" s="477" t="str">
        <v>5 Вт мин.</v>
      </c>
      <c r="S34" s="466" t="str">
        <v/>
      </c>
      <c r="T34" s="467" t="str">
        <v/>
      </c>
      <c r="U34" s="478" t="str">
        <v/>
      </c>
      <c r="V34" s="479" t="str">
        <v/>
      </c>
    </row>
    <row r="35" spans="2:22" ht="18.75" customHeight="1" x14ac:dyDescent="0.2">
      <c r="B35" s="453" t="str">
        <v>Провод эмалированный</v>
      </c>
      <c r="C35" s="454">
        <v>2</v>
      </c>
      <c r="D35" s="453" t="str">
        <v>мм</v>
      </c>
      <c r="E35" s="453" t="str">
        <v>Общий метраж, м</v>
      </c>
      <c r="F35" s="454">
        <v>128.9</v>
      </c>
      <c r="G35" s="455">
        <v>2</v>
      </c>
      <c r="H35" s="456" t="str">
        <v/>
      </c>
      <c r="I35" s="453" t="str">
        <v/>
      </c>
      <c r="J35" s="438"/>
      <c r="K35" s="474"/>
      <c r="L35" s="475"/>
      <c r="M35" s="475"/>
      <c r="N35" s="475"/>
      <c r="O35" s="464"/>
      <c r="P35" s="476"/>
      <c r="Q35" s="465"/>
      <c r="R35" s="477"/>
      <c r="S35" s="466"/>
      <c r="T35" s="467"/>
      <c r="U35" s="478"/>
      <c r="V35" s="479"/>
    </row>
    <row r="36" spans="2:22" ht="18.75" customHeight="1" x14ac:dyDescent="0.2">
      <c r="B36" s="453"/>
      <c r="C36" s="454"/>
      <c r="D36" s="453"/>
      <c r="E36" s="453"/>
      <c r="F36" s="454"/>
      <c r="G36" s="455"/>
      <c r="H36" s="456"/>
      <c r="I36" s="453"/>
      <c r="J36" s="438"/>
      <c r="K36" s="474"/>
      <c r="L36" s="475"/>
      <c r="M36" s="475"/>
      <c r="N36" s="475"/>
      <c r="O36" s="464"/>
      <c r="P36" s="476"/>
      <c r="Q36" s="465"/>
      <c r="R36" s="477"/>
      <c r="S36" s="466"/>
      <c r="T36" s="467"/>
      <c r="U36" s="478"/>
      <c r="V36" s="479"/>
    </row>
    <row r="37" spans="2:22" ht="18.75" customHeight="1" x14ac:dyDescent="0.2">
      <c r="B37" s="453"/>
      <c r="C37" s="454"/>
      <c r="D37" s="453"/>
      <c r="E37" s="453"/>
      <c r="F37" s="454"/>
      <c r="G37" s="455"/>
      <c r="H37" s="456"/>
      <c r="I37" s="453"/>
      <c r="J37" s="438"/>
      <c r="K37" s="474"/>
      <c r="L37" s="475"/>
      <c r="M37" s="475"/>
      <c r="N37" s="475"/>
      <c r="O37" s="464"/>
      <c r="P37" s="476"/>
      <c r="Q37" s="465"/>
      <c r="R37" s="477"/>
      <c r="S37" s="466"/>
      <c r="T37" s="467"/>
      <c r="U37" s="478"/>
      <c r="V37" s="479"/>
    </row>
    <row r="38" spans="2:22" ht="18.75" customHeight="1" x14ac:dyDescent="0.2">
      <c r="B38" s="453"/>
      <c r="C38" s="454"/>
      <c r="D38" s="453"/>
      <c r="E38" s="453"/>
      <c r="F38" s="454"/>
      <c r="G38" s="455"/>
      <c r="H38" s="456"/>
      <c r="I38" s="453"/>
      <c r="J38" s="438"/>
      <c r="K38" s="474"/>
      <c r="L38" s="475"/>
      <c r="M38" s="475"/>
      <c r="N38" s="475"/>
      <c r="O38" s="464"/>
      <c r="P38" s="476"/>
      <c r="Q38" s="465"/>
      <c r="R38" s="477"/>
      <c r="S38" s="466"/>
      <c r="T38" s="467"/>
      <c r="U38" s="478"/>
      <c r="V38" s="479"/>
    </row>
    <row r="39" spans="2:22" ht="18.75" customHeight="1" x14ac:dyDescent="0.2">
      <c r="B39" s="453"/>
      <c r="C39" s="454"/>
      <c r="D39" s="453"/>
      <c r="E39" s="453"/>
      <c r="F39" s="454"/>
      <c r="G39" s="455"/>
      <c r="H39" s="456"/>
      <c r="I39" s="453"/>
      <c r="J39" s="438"/>
      <c r="K39" s="474"/>
      <c r="L39" s="475"/>
      <c r="M39" s="475"/>
      <c r="N39" s="475"/>
      <c r="O39" s="464"/>
      <c r="P39" s="476"/>
      <c r="Q39" s="465"/>
      <c r="R39" s="477"/>
      <c r="S39" s="466"/>
      <c r="T39" s="467"/>
      <c r="U39" s="478"/>
      <c r="V39" s="479"/>
    </row>
    <row r="40" spans="2:22" ht="18.75" customHeight="1" x14ac:dyDescent="0.2">
      <c r="B40" s="453"/>
      <c r="C40" s="454"/>
      <c r="D40" s="453"/>
      <c r="E40" s="453"/>
      <c r="F40" s="454"/>
      <c r="G40" s="455"/>
      <c r="H40" s="456"/>
      <c r="I40" s="453"/>
      <c r="J40" s="438"/>
      <c r="K40" s="474"/>
      <c r="L40" s="475"/>
      <c r="M40" s="475"/>
      <c r="N40" s="475"/>
      <c r="O40" s="464"/>
      <c r="P40" s="476"/>
      <c r="Q40" s="465"/>
      <c r="R40" s="477"/>
      <c r="S40" s="466"/>
      <c r="T40" s="467"/>
      <c r="U40" s="478"/>
      <c r="V40" s="479"/>
    </row>
    <row r="41" spans="2:22" ht="18.75" customHeight="1" x14ac:dyDescent="0.2">
      <c r="B41" s="453"/>
      <c r="C41" s="454"/>
      <c r="D41" s="453"/>
      <c r="E41" s="453"/>
      <c r="F41" s="454"/>
      <c r="G41" s="455"/>
      <c r="H41" s="456"/>
      <c r="I41" s="453"/>
      <c r="J41" s="438"/>
      <c r="K41" s="474"/>
      <c r="L41" s="475"/>
      <c r="M41" s="475"/>
      <c r="N41" s="475"/>
      <c r="O41" s="464"/>
      <c r="P41" s="476"/>
      <c r="Q41" s="465"/>
      <c r="R41" s="477"/>
      <c r="S41" s="466"/>
      <c r="T41" s="467"/>
      <c r="U41" s="478"/>
      <c r="V41" s="479"/>
    </row>
    <row r="42" spans="2:22" ht="18.75" customHeight="1" x14ac:dyDescent="0.2">
      <c r="B42" s="453"/>
      <c r="C42" s="454"/>
      <c r="D42" s="453"/>
      <c r="E42" s="453"/>
      <c r="F42" s="454"/>
      <c r="G42" s="455"/>
      <c r="H42" s="456"/>
      <c r="I42" s="453"/>
      <c r="J42" s="438"/>
      <c r="K42" s="474"/>
      <c r="L42" s="475"/>
      <c r="M42" s="475"/>
      <c r="N42" s="475"/>
      <c r="O42" s="464"/>
      <c r="P42" s="476"/>
      <c r="Q42" s="465"/>
      <c r="R42" s="477"/>
      <c r="S42" s="466"/>
      <c r="T42" s="467"/>
      <c r="U42" s="478"/>
      <c r="V42" s="479"/>
    </row>
    <row r="43" spans="2:22" ht="18.75" customHeight="1" x14ac:dyDescent="0.2">
      <c r="B43" s="453"/>
      <c r="C43" s="454"/>
      <c r="D43" s="453"/>
      <c r="E43" s="453"/>
      <c r="F43" s="454"/>
      <c r="G43" s="455"/>
      <c r="H43" s="456"/>
      <c r="I43" s="453"/>
      <c r="J43" s="438"/>
      <c r="K43" s="474"/>
      <c r="L43" s="475"/>
      <c r="M43" s="475"/>
      <c r="N43" s="475"/>
      <c r="O43" s="464"/>
      <c r="P43" s="476"/>
      <c r="Q43" s="465"/>
      <c r="R43" s="477"/>
      <c r="S43" s="466"/>
      <c r="T43" s="467"/>
      <c r="U43" s="478"/>
      <c r="V43" s="479"/>
    </row>
    <row r="44" spans="2:22" ht="18.75" customHeight="1" x14ac:dyDescent="0.2">
      <c r="B44" s="453"/>
      <c r="C44" s="454"/>
      <c r="D44" s="453"/>
      <c r="E44" s="453"/>
      <c r="F44" s="454"/>
      <c r="G44" s="455"/>
      <c r="H44" s="456"/>
      <c r="I44" s="453"/>
      <c r="J44" s="438"/>
      <c r="K44" s="474"/>
      <c r="L44" s="475"/>
      <c r="M44" s="475"/>
      <c r="N44" s="475"/>
      <c r="O44" s="464"/>
      <c r="P44" s="476"/>
      <c r="Q44" s="465"/>
      <c r="R44" s="477"/>
      <c r="S44" s="466"/>
      <c r="T44" s="467"/>
      <c r="U44" s="478"/>
      <c r="V44" s="479"/>
    </row>
    <row r="45" spans="2:22" ht="18.75" customHeight="1" x14ac:dyDescent="0.2">
      <c r="B45" s="453"/>
      <c r="C45" s="454"/>
      <c r="D45" s="453"/>
      <c r="E45" s="453"/>
      <c r="F45" s="454"/>
      <c r="G45" s="455"/>
      <c r="H45" s="456"/>
      <c r="I45" s="453"/>
      <c r="J45" s="438"/>
      <c r="K45" s="474"/>
      <c r="L45" s="475"/>
      <c r="M45" s="475"/>
      <c r="N45" s="475"/>
      <c r="O45" s="464"/>
      <c r="P45" s="476"/>
      <c r="Q45" s="465"/>
      <c r="R45" s="477"/>
      <c r="S45" s="466"/>
      <c r="T45" s="467"/>
      <c r="U45" s="478"/>
      <c r="V45" s="479"/>
    </row>
    <row r="46" spans="2:22" ht="18.75" customHeight="1" x14ac:dyDescent="0.2">
      <c r="B46" s="453"/>
      <c r="C46" s="454"/>
      <c r="D46" s="453"/>
      <c r="E46" s="453"/>
      <c r="F46" s="454"/>
      <c r="G46" s="455"/>
      <c r="H46" s="456"/>
      <c r="I46" s="453"/>
      <c r="J46" s="438"/>
      <c r="K46" s="474"/>
      <c r="L46" s="475"/>
      <c r="M46" s="475"/>
      <c r="N46" s="475"/>
      <c r="O46" s="464"/>
      <c r="P46" s="476"/>
      <c r="Q46" s="465"/>
      <c r="R46" s="477"/>
      <c r="S46" s="466"/>
      <c r="T46" s="467"/>
      <c r="U46" s="478"/>
      <c r="V46" s="479"/>
    </row>
    <row r="47" spans="2:22" ht="18.75" customHeight="1" x14ac:dyDescent="0.2">
      <c r="B47" s="453"/>
      <c r="C47" s="454"/>
      <c r="D47" s="453"/>
      <c r="E47" s="453"/>
      <c r="F47" s="454"/>
      <c r="G47" s="455"/>
      <c r="H47" s="456"/>
      <c r="I47" s="453"/>
      <c r="J47" s="438"/>
      <c r="K47" s="474"/>
      <c r="L47" s="475"/>
      <c r="M47" s="475"/>
      <c r="N47" s="475"/>
      <c r="O47" s="464"/>
      <c r="P47" s="476"/>
      <c r="Q47" s="465"/>
      <c r="R47" s="477"/>
      <c r="S47" s="466"/>
      <c r="T47" s="467"/>
      <c r="U47" s="478"/>
      <c r="V47" s="479"/>
    </row>
    <row r="48" spans="2:22" ht="18.75" customHeight="1" x14ac:dyDescent="0.2">
      <c r="B48" s="453"/>
      <c r="C48" s="454"/>
      <c r="D48" s="453"/>
      <c r="E48" s="453"/>
      <c r="F48" s="454"/>
      <c r="G48" s="455"/>
      <c r="H48" s="456"/>
      <c r="I48" s="453"/>
      <c r="J48" s="438"/>
      <c r="K48" s="474"/>
      <c r="L48" s="475"/>
      <c r="M48" s="475"/>
      <c r="N48" s="475"/>
      <c r="O48" s="464"/>
      <c r="P48" s="476"/>
      <c r="Q48" s="465"/>
      <c r="R48" s="477"/>
      <c r="S48" s="466"/>
      <c r="T48" s="467"/>
      <c r="U48" s="478"/>
      <c r="V48" s="479"/>
    </row>
    <row r="49" spans="2:22" ht="18.75" customHeight="1" x14ac:dyDescent="0.2">
      <c r="B49" s="453"/>
      <c r="C49" s="454"/>
      <c r="D49" s="453"/>
      <c r="E49" s="453"/>
      <c r="F49" s="454"/>
      <c r="G49" s="455"/>
      <c r="H49" s="456"/>
      <c r="I49" s="453"/>
      <c r="J49" s="438"/>
      <c r="K49" s="480"/>
      <c r="L49" s="481"/>
      <c r="M49" s="480"/>
      <c r="N49" s="481"/>
      <c r="O49" s="426"/>
      <c r="P49" s="480"/>
      <c r="Q49" s="427"/>
      <c r="R49" s="482"/>
      <c r="S49" s="428"/>
      <c r="T49" s="429"/>
      <c r="U49" s="483"/>
      <c r="V49" s="484"/>
    </row>
    <row r="50" spans="2:22" ht="18.75" customHeight="1" x14ac:dyDescent="0.25">
      <c r="B50" s="453"/>
      <c r="C50" s="454"/>
      <c r="D50" s="453"/>
      <c r="E50" s="453"/>
      <c r="F50" s="454"/>
      <c r="G50" s="455"/>
      <c r="H50" s="456"/>
      <c r="I50" s="453"/>
      <c r="J50" s="438"/>
      <c r="K50"/>
      <c r="L50"/>
      <c r="M50"/>
      <c r="N50"/>
      <c r="O50"/>
      <c r="P50"/>
      <c r="Q50"/>
      <c r="R50"/>
      <c r="S50"/>
      <c r="T50"/>
      <c r="U50"/>
      <c r="V50"/>
    </row>
    <row r="51" spans="2:22" x14ac:dyDescent="0.2">
      <c r="B51" s="457"/>
      <c r="C51" s="458"/>
      <c r="D51" s="459"/>
      <c r="E51" s="459"/>
      <c r="F51" s="460"/>
      <c r="G51" s="461"/>
      <c r="H51" s="462"/>
      <c r="I51" s="459"/>
      <c r="J51" s="438"/>
    </row>
    <row r="52" spans="2:22" x14ac:dyDescent="0.2">
      <c r="B52" s="457"/>
      <c r="C52" s="458"/>
      <c r="D52" s="459"/>
      <c r="E52" s="459"/>
      <c r="F52" s="460"/>
      <c r="G52" s="461"/>
      <c r="H52" s="462"/>
      <c r="I52" s="459"/>
      <c r="J52" s="438"/>
    </row>
    <row r="53" spans="2:22" x14ac:dyDescent="0.2">
      <c r="B53" s="438"/>
      <c r="C53" s="438"/>
      <c r="D53" s="438"/>
      <c r="E53" s="438"/>
      <c r="F53" s="438"/>
      <c r="G53" s="438"/>
      <c r="H53" s="438"/>
      <c r="I53" s="438"/>
      <c r="J53" s="438"/>
    </row>
    <row r="54" spans="2:22" x14ac:dyDescent="0.2">
      <c r="B54" s="438"/>
      <c r="C54" s="438"/>
      <c r="D54" s="438"/>
      <c r="E54" s="438"/>
      <c r="F54" s="438"/>
      <c r="G54" s="438"/>
      <c r="H54" s="438"/>
      <c r="I54" s="438"/>
      <c r="J54" s="438"/>
    </row>
    <row r="55" spans="2:22" x14ac:dyDescent="0.2">
      <c r="B55" s="438"/>
      <c r="C55" s="438"/>
      <c r="D55" s="438"/>
      <c r="E55" s="438"/>
      <c r="F55" s="438"/>
      <c r="G55" s="438"/>
      <c r="H55" s="438"/>
      <c r="I55" s="438"/>
      <c r="J55" s="438"/>
    </row>
    <row r="56" spans="2:22" x14ac:dyDescent="0.2">
      <c r="B56" s="438"/>
      <c r="C56" s="438"/>
      <c r="D56" s="438"/>
      <c r="E56" s="438"/>
      <c r="F56" s="438"/>
      <c r="G56" s="438"/>
      <c r="H56" s="438"/>
      <c r="I56" s="438"/>
      <c r="J56" s="438"/>
    </row>
    <row r="57" spans="2:22" x14ac:dyDescent="0.2">
      <c r="B57" s="438"/>
      <c r="C57" s="438"/>
      <c r="D57" s="438"/>
      <c r="E57" s="438"/>
      <c r="F57" s="438"/>
      <c r="G57" s="438"/>
      <c r="H57" s="438"/>
      <c r="I57" s="438"/>
      <c r="J57" s="438"/>
    </row>
    <row r="58" spans="2:22" x14ac:dyDescent="0.2">
      <c r="B58" s="438"/>
      <c r="C58" s="438"/>
      <c r="D58" s="438"/>
      <c r="E58" s="438"/>
      <c r="F58" s="438"/>
      <c r="G58" s="438"/>
      <c r="H58" s="438"/>
      <c r="I58" s="438"/>
      <c r="J58" s="438"/>
    </row>
    <row r="59" spans="2:22" x14ac:dyDescent="0.2">
      <c r="B59" s="438"/>
      <c r="C59" s="438"/>
      <c r="D59" s="438"/>
      <c r="E59" s="438"/>
      <c r="F59" s="438"/>
      <c r="G59" s="438"/>
      <c r="H59" s="438"/>
      <c r="I59" s="438"/>
      <c r="J59" s="438"/>
    </row>
    <row r="60" spans="2:22" x14ac:dyDescent="0.2">
      <c r="B60" s="438"/>
      <c r="C60" s="438"/>
      <c r="D60" s="438"/>
      <c r="E60" s="438"/>
      <c r="F60" s="438"/>
      <c r="G60" s="438"/>
      <c r="H60" s="438"/>
      <c r="I60" s="438"/>
      <c r="J60" s="438"/>
    </row>
    <row r="61" spans="2:22" x14ac:dyDescent="0.2">
      <c r="B61" s="438"/>
      <c r="C61" s="438"/>
      <c r="D61" s="438"/>
      <c r="E61" s="438"/>
      <c r="F61" s="438"/>
      <c r="G61" s="438"/>
      <c r="H61" s="438"/>
      <c r="I61" s="438"/>
      <c r="J61" s="438"/>
    </row>
    <row r="62" spans="2:22" x14ac:dyDescent="0.2">
      <c r="B62" s="438"/>
      <c r="C62" s="438"/>
      <c r="D62" s="438"/>
      <c r="E62" s="438"/>
      <c r="F62" s="438"/>
      <c r="G62" s="438"/>
      <c r="H62" s="438"/>
      <c r="I62" s="438"/>
      <c r="J62" s="438"/>
    </row>
    <row r="63" spans="2:22" x14ac:dyDescent="0.2">
      <c r="B63" s="438"/>
      <c r="C63" s="438"/>
      <c r="D63" s="438"/>
      <c r="E63" s="438"/>
      <c r="F63" s="438"/>
      <c r="G63" s="438"/>
      <c r="H63" s="438"/>
      <c r="I63" s="438"/>
      <c r="J63" s="438"/>
    </row>
    <row r="64" spans="2:22" x14ac:dyDescent="0.2">
      <c r="B64" s="438"/>
      <c r="C64" s="438"/>
      <c r="D64" s="438"/>
      <c r="E64" s="438"/>
      <c r="F64" s="438"/>
      <c r="G64" s="438"/>
      <c r="H64" s="438"/>
      <c r="I64" s="438"/>
      <c r="J64" s="438"/>
    </row>
    <row r="65" spans="2:10" x14ac:dyDescent="0.2">
      <c r="B65" s="438"/>
      <c r="C65" s="438"/>
      <c r="D65" s="438"/>
      <c r="E65" s="438"/>
      <c r="F65" s="438"/>
      <c r="G65" s="438"/>
      <c r="H65" s="438"/>
      <c r="I65" s="438"/>
      <c r="J65" s="438"/>
    </row>
    <row r="66" spans="2:10" x14ac:dyDescent="0.2">
      <c r="B66" s="438"/>
      <c r="C66" s="438"/>
      <c r="D66" s="438"/>
      <c r="E66" s="438"/>
      <c r="F66" s="438"/>
      <c r="G66" s="438"/>
      <c r="H66" s="438"/>
      <c r="I66" s="438"/>
      <c r="J66" s="438"/>
    </row>
    <row r="67" spans="2:10" x14ac:dyDescent="0.2">
      <c r="B67" s="438"/>
      <c r="C67" s="438"/>
      <c r="D67" s="438"/>
      <c r="E67" s="438"/>
      <c r="F67" s="438"/>
      <c r="G67" s="438"/>
      <c r="H67" s="438"/>
      <c r="I67" s="438"/>
      <c r="J67" s="438"/>
    </row>
    <row r="68" spans="2:10" x14ac:dyDescent="0.2">
      <c r="B68" s="438"/>
      <c r="C68" s="438"/>
      <c r="D68" s="438"/>
      <c r="E68" s="438"/>
      <c r="F68" s="438"/>
      <c r="G68" s="438"/>
      <c r="H68" s="438"/>
      <c r="I68" s="438"/>
      <c r="J68" s="438"/>
    </row>
    <row r="69" spans="2:10" x14ac:dyDescent="0.2">
      <c r="B69" s="438"/>
      <c r="C69" s="438"/>
      <c r="D69" s="438"/>
      <c r="E69" s="438"/>
      <c r="F69" s="438"/>
      <c r="G69" s="438"/>
      <c r="H69" s="438"/>
      <c r="I69" s="438"/>
      <c r="J69" s="438"/>
    </row>
    <row r="70" spans="2:10" x14ac:dyDescent="0.2">
      <c r="B70" s="438"/>
      <c r="C70" s="438"/>
      <c r="D70" s="438"/>
      <c r="E70" s="438"/>
      <c r="F70" s="438"/>
      <c r="G70" s="438"/>
      <c r="H70" s="438"/>
      <c r="I70" s="438"/>
      <c r="J70" s="438"/>
    </row>
    <row r="71" spans="2:10" x14ac:dyDescent="0.2">
      <c r="B71" s="438"/>
      <c r="C71" s="438"/>
      <c r="D71" s="438"/>
      <c r="E71" s="438"/>
      <c r="F71" s="438"/>
      <c r="G71" s="438"/>
      <c r="H71" s="438"/>
      <c r="I71" s="438"/>
      <c r="J71" s="438"/>
    </row>
    <row r="72" spans="2:10" x14ac:dyDescent="0.2">
      <c r="B72" s="438"/>
      <c r="C72" s="438"/>
      <c r="D72" s="438"/>
      <c r="E72" s="438"/>
      <c r="F72" s="438"/>
      <c r="G72" s="438"/>
      <c r="H72" s="438"/>
      <c r="I72" s="438"/>
      <c r="J72" s="438"/>
    </row>
    <row r="73" spans="2:10" x14ac:dyDescent="0.2">
      <c r="B73" s="438"/>
      <c r="C73" s="438"/>
      <c r="D73" s="438"/>
      <c r="E73" s="438"/>
      <c r="F73" s="438"/>
      <c r="G73" s="438"/>
      <c r="H73" s="438"/>
      <c r="I73" s="438"/>
      <c r="J73" s="438"/>
    </row>
    <row r="74" spans="2:10" x14ac:dyDescent="0.2">
      <c r="B74" s="438"/>
      <c r="C74" s="438"/>
      <c r="D74" s="438"/>
      <c r="E74" s="438"/>
      <c r="F74" s="438"/>
      <c r="G74" s="438"/>
      <c r="H74" s="438"/>
      <c r="I74" s="438"/>
      <c r="J74" s="438"/>
    </row>
    <row r="75" spans="2:10" x14ac:dyDescent="0.2">
      <c r="B75" s="438"/>
      <c r="C75" s="438"/>
      <c r="D75" s="438"/>
      <c r="E75" s="438"/>
      <c r="F75" s="438"/>
      <c r="G75" s="438"/>
      <c r="H75" s="438"/>
      <c r="I75" s="438"/>
      <c r="J75" s="438"/>
    </row>
    <row r="76" spans="2:10" x14ac:dyDescent="0.2">
      <c r="B76" s="438"/>
      <c r="C76" s="438"/>
      <c r="D76" s="438"/>
      <c r="E76" s="438"/>
      <c r="F76" s="438"/>
      <c r="G76" s="438"/>
      <c r="H76" s="438"/>
      <c r="I76" s="438"/>
      <c r="J76" s="438"/>
    </row>
    <row r="77" spans="2:10" x14ac:dyDescent="0.2">
      <c r="B77" s="438"/>
      <c r="C77" s="438"/>
      <c r="D77" s="438"/>
      <c r="E77" s="438"/>
      <c r="F77" s="438"/>
      <c r="G77" s="438"/>
      <c r="H77" s="438"/>
      <c r="I77" s="438"/>
      <c r="J77" s="438"/>
    </row>
    <row r="78" spans="2:10" x14ac:dyDescent="0.2">
      <c r="B78" s="438"/>
      <c r="C78" s="438"/>
      <c r="D78" s="438"/>
      <c r="E78" s="438"/>
      <c r="F78" s="438"/>
      <c r="G78" s="438"/>
      <c r="H78" s="438"/>
      <c r="I78" s="438"/>
      <c r="J78" s="438"/>
    </row>
    <row r="79" spans="2:10" x14ac:dyDescent="0.2">
      <c r="B79" s="438"/>
      <c r="C79" s="438"/>
      <c r="D79" s="438"/>
      <c r="E79" s="438"/>
      <c r="F79" s="438"/>
      <c r="G79" s="438"/>
      <c r="H79" s="438"/>
      <c r="I79" s="438"/>
      <c r="J79" s="438"/>
    </row>
    <row r="80" spans="2:10" x14ac:dyDescent="0.2">
      <c r="B80" s="438"/>
      <c r="C80" s="438"/>
      <c r="D80" s="438"/>
      <c r="E80" s="438"/>
      <c r="F80" s="438"/>
      <c r="G80" s="438"/>
      <c r="H80" s="438"/>
      <c r="I80" s="438"/>
      <c r="J80" s="438"/>
    </row>
    <row r="81" spans="2:10" x14ac:dyDescent="0.2">
      <c r="B81" s="438"/>
      <c r="C81" s="438"/>
      <c r="D81" s="438"/>
      <c r="E81" s="438"/>
      <c r="F81" s="438"/>
      <c r="G81" s="438"/>
      <c r="H81" s="438"/>
      <c r="I81" s="438"/>
      <c r="J81" s="438"/>
    </row>
    <row r="82" spans="2:10" x14ac:dyDescent="0.2">
      <c r="B82" s="438"/>
      <c r="C82" s="438"/>
      <c r="D82" s="438"/>
      <c r="E82" s="438"/>
      <c r="F82" s="438"/>
      <c r="G82" s="438"/>
      <c r="H82" s="438"/>
      <c r="I82" s="438"/>
      <c r="J82" s="438"/>
    </row>
    <row r="83" spans="2:10" x14ac:dyDescent="0.2">
      <c r="B83" s="438"/>
      <c r="C83" s="438"/>
      <c r="D83" s="438"/>
      <c r="E83" s="438"/>
      <c r="F83" s="438"/>
      <c r="G83" s="438"/>
      <c r="H83" s="438"/>
      <c r="I83" s="438"/>
      <c r="J83" s="438"/>
    </row>
    <row r="84" spans="2:10" x14ac:dyDescent="0.2">
      <c r="B84" s="438"/>
      <c r="C84" s="438"/>
      <c r="D84" s="438"/>
      <c r="E84" s="438"/>
      <c r="F84" s="438"/>
      <c r="G84" s="438"/>
      <c r="H84" s="438"/>
      <c r="I84" s="438"/>
      <c r="J84" s="438"/>
    </row>
    <row r="85" spans="2:10" x14ac:dyDescent="0.2">
      <c r="B85" s="438"/>
      <c r="C85" s="438"/>
      <c r="D85" s="438"/>
      <c r="E85" s="438"/>
      <c r="F85" s="438"/>
      <c r="G85" s="438"/>
      <c r="H85" s="438"/>
      <c r="I85" s="438"/>
      <c r="J85" s="438"/>
    </row>
  </sheetData>
  <mergeCells count="1">
    <mergeCell ref="I4:N7"/>
  </mergeCells>
  <conditionalFormatting sqref="C10:C50">
    <cfRule type="expression" dxfId="10" priority="2">
      <formula>AND(ISNUMBER(C10),MOD(C10,1)=0)</formula>
    </cfRule>
  </conditionalFormatting>
  <conditionalFormatting sqref="F10:F50">
    <cfRule type="expression" dxfId="9" priority="3">
      <formula>AND(ISNUMBER(F10),MOD(F10,1)=0)</formula>
    </cfRule>
  </conditionalFormatting>
  <conditionalFormatting sqref="O8:O49">
    <cfRule type="expression" dxfId="8" priority="1">
      <formula>AND(ISNUMBER(O8),MOD(O8,1)=0)</formula>
    </cfRule>
  </conditionalFormatting>
  <dataValidations count="1">
    <dataValidation type="list" allowBlank="1" showInputMessage="1" showErrorMessage="1" errorTitle="Допустимое значение" error="Выберите «Да» или «Нет» из списка." sqref="D6:G7 C5:G5" xr:uid="{0F5D1BFC-F7D4-4078-BD2C-48E66484FAD2}">
      <formula1>"Да,Нет"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196E-EE7A-4BAD-B234-775DCE5014CA}">
  <sheetPr codeName="Лист11">
    <tabColor theme="7" tint="0.59999389629810485"/>
  </sheetPr>
  <dimension ref="A1:O103"/>
  <sheetViews>
    <sheetView workbookViewId="0">
      <selection activeCell="G10" sqref="G10"/>
    </sheetView>
  </sheetViews>
  <sheetFormatPr defaultRowHeight="22.5" customHeight="1" x14ac:dyDescent="0.25"/>
  <cols>
    <col min="1" max="1" width="50.85546875" style="330" bestFit="1" customWidth="1"/>
    <col min="2" max="2" width="8.5703125" style="356" customWidth="1"/>
    <col min="3" max="3" width="8.5703125" style="330" customWidth="1"/>
    <col min="4" max="4" width="12.85546875" style="330" customWidth="1"/>
    <col min="5" max="5" width="12.85546875" style="339" customWidth="1"/>
    <col min="6" max="6" width="2.85546875" style="330" customWidth="1"/>
    <col min="7" max="7" width="41.5703125" style="330" customWidth="1"/>
    <col min="8" max="8" width="12.42578125" style="330" customWidth="1"/>
    <col min="9" max="9" width="15.42578125" style="330" customWidth="1"/>
    <col min="10" max="12" width="9.140625" style="330"/>
    <col min="13" max="13" width="8.140625" style="330" customWidth="1"/>
    <col min="14" max="14" width="0.85546875" style="330" hidden="1" customWidth="1"/>
    <col min="15" max="16384" width="9.140625" style="330"/>
  </cols>
  <sheetData>
    <row r="1" spans="1:9" s="398" customFormat="1" ht="37.5" customHeight="1" x14ac:dyDescent="0.25">
      <c r="A1" s="515" t="s">
        <v>310</v>
      </c>
      <c r="B1" s="515"/>
      <c r="C1" s="515"/>
      <c r="D1" s="397" t="s">
        <v>17</v>
      </c>
      <c r="E1" s="397"/>
    </row>
    <row r="2" spans="1:9" ht="22.5" customHeight="1" x14ac:dyDescent="0.25">
      <c r="A2" s="334" t="s">
        <v>239</v>
      </c>
      <c r="B2" s="356" t="s">
        <v>552</v>
      </c>
      <c r="C2" s="331"/>
      <c r="D2" s="335">
        <f>'Сквозной расчёт фильтров'!E9</f>
        <v>0.57010431640241999</v>
      </c>
      <c r="E2" s="360"/>
      <c r="G2" s="337" t="s">
        <v>246</v>
      </c>
      <c r="H2" s="337"/>
      <c r="I2" s="336" t="s">
        <v>252</v>
      </c>
    </row>
    <row r="3" spans="1:9" ht="22.5" customHeight="1" x14ac:dyDescent="0.25">
      <c r="A3" s="334" t="s">
        <v>241</v>
      </c>
      <c r="B3" s="356" t="s">
        <v>553</v>
      </c>
      <c r="C3" s="331"/>
      <c r="D3" s="253">
        <v>0.70699999999999996</v>
      </c>
      <c r="E3" s="361"/>
      <c r="G3" s="334" t="s">
        <v>248</v>
      </c>
      <c r="H3" s="332" t="s">
        <v>249</v>
      </c>
      <c r="I3" s="332" t="s">
        <v>250</v>
      </c>
    </row>
    <row r="4" spans="1:9" ht="22.5" customHeight="1" x14ac:dyDescent="0.25">
      <c r="A4" s="334" t="s">
        <v>240</v>
      </c>
      <c r="B4" s="356" t="s">
        <v>554</v>
      </c>
      <c r="C4" s="331" t="s">
        <v>243</v>
      </c>
      <c r="D4" s="253">
        <v>20</v>
      </c>
      <c r="E4" s="361"/>
      <c r="G4" s="334" t="s">
        <v>247</v>
      </c>
      <c r="H4" s="332">
        <v>0.70699999999999996</v>
      </c>
      <c r="I4" s="332" t="s">
        <v>251</v>
      </c>
    </row>
    <row r="5" spans="1:9" ht="22.5" customHeight="1" x14ac:dyDescent="0.25">
      <c r="A5" s="334" t="s">
        <v>242</v>
      </c>
      <c r="B5" s="356" t="s">
        <v>358</v>
      </c>
      <c r="C5" s="331" t="s">
        <v>243</v>
      </c>
      <c r="D5" s="197">
        <f>IF(D2 &gt;= D3, "&lt;&lt; DCR!", D4 / ((D3 / D2)^2 - 1))</f>
        <v>37.181125022626389</v>
      </c>
      <c r="E5" s="362"/>
      <c r="G5" s="334" t="s">
        <v>245</v>
      </c>
      <c r="H5" s="332" t="s">
        <v>244</v>
      </c>
      <c r="I5" s="332" t="s">
        <v>556</v>
      </c>
    </row>
    <row r="6" spans="1:9" s="398" customFormat="1" ht="37.5" customHeight="1" x14ac:dyDescent="0.25">
      <c r="A6" s="515" t="s">
        <v>310</v>
      </c>
      <c r="B6" s="515"/>
      <c r="C6" s="515"/>
      <c r="D6" s="397" t="s">
        <v>51</v>
      </c>
      <c r="E6" s="399"/>
    </row>
    <row r="7" spans="1:9" ht="22.5" customHeight="1" x14ac:dyDescent="0.25">
      <c r="A7" s="255" t="s">
        <v>56</v>
      </c>
      <c r="B7" s="332" t="s">
        <v>518</v>
      </c>
      <c r="C7" s="331" t="s">
        <v>25</v>
      </c>
      <c r="D7" s="196">
        <f>'Сквозной расчёт фильтров'!J6</f>
        <v>204</v>
      </c>
      <c r="E7" s="360"/>
      <c r="G7" s="336"/>
      <c r="H7" s="337"/>
      <c r="I7" s="337"/>
    </row>
    <row r="8" spans="1:9" ht="22.5" customHeight="1" x14ac:dyDescent="0.25">
      <c r="A8" s="334" t="s">
        <v>240</v>
      </c>
      <c r="B8" s="356" t="s">
        <v>554</v>
      </c>
      <c r="C8" s="331" t="s">
        <v>243</v>
      </c>
      <c r="D8" s="253">
        <v>40</v>
      </c>
      <c r="E8" s="361"/>
      <c r="G8" s="254"/>
      <c r="H8" s="332"/>
      <c r="I8" s="332"/>
    </row>
    <row r="9" spans="1:9" ht="22.5" customHeight="1" x14ac:dyDescent="0.25">
      <c r="A9" s="334" t="s">
        <v>242</v>
      </c>
      <c r="B9" s="356" t="s">
        <v>358</v>
      </c>
      <c r="C9" s="331" t="s">
        <v>243</v>
      </c>
      <c r="D9" s="253">
        <v>25</v>
      </c>
      <c r="E9" s="361"/>
      <c r="G9" s="254"/>
      <c r="H9" s="332"/>
      <c r="I9" s="332"/>
    </row>
    <row r="10" spans="1:9" ht="22.5" customHeight="1" x14ac:dyDescent="0.25">
      <c r="A10" s="334" t="s">
        <v>314</v>
      </c>
      <c r="C10" s="331"/>
      <c r="D10" s="364" t="str">
        <f>IF(OR(D9="",D9=0),"Введите объем Vb (СЧ)",IF(D7*SQRT(D8/D9+1)&gt;='Сквозной расчёт фильтров'!J36,"ОШИБКА: Fc = "&amp;ROUND(D7*SQRT(D8/D9+1),1)&amp;" Гц (В рабочей зоне!)",IF(D7*SQRT(D8/D9+1)&gt;'Сквозной расчёт фильтров'!J36/2,"ВНИМАНИЕ: Fc = "&amp;ROUND(D7*SQRT(D8/D9+1),1)&amp;" Гц (Слишком близко к срезу)","ИДЕАЛЬНО: Fc = "&amp;ROUND(D7*SQRT(D8/D9+1),1)&amp;" Гц")))</f>
        <v>ИДЕАЛЬНО: Fc = 328,9 Гц</v>
      </c>
      <c r="E10" s="363"/>
      <c r="F10" s="353"/>
      <c r="G10" s="365"/>
      <c r="H10" s="332"/>
    </row>
    <row r="11" spans="1:9" s="398" customFormat="1" ht="37.5" customHeight="1" x14ac:dyDescent="0.25">
      <c r="A11" s="12" t="s">
        <v>312</v>
      </c>
      <c r="D11" s="397"/>
      <c r="E11" s="400"/>
      <c r="F11" s="397"/>
      <c r="G11" s="401"/>
      <c r="H11" s="402"/>
    </row>
    <row r="12" spans="1:9" ht="22.5" customHeight="1" thickBot="1" x14ac:dyDescent="0.3">
      <c r="A12" s="334" t="s">
        <v>265</v>
      </c>
      <c r="D12" s="344" t="s">
        <v>263</v>
      </c>
      <c r="E12" s="345" t="s">
        <v>264</v>
      </c>
      <c r="F12" s="179"/>
      <c r="G12" s="334" t="s">
        <v>268</v>
      </c>
      <c r="H12" s="333" t="s">
        <v>266</v>
      </c>
    </row>
    <row r="13" spans="1:9" ht="22.5" customHeight="1" thickTop="1" x14ac:dyDescent="0.25">
      <c r="A13" s="334" t="s">
        <v>258</v>
      </c>
      <c r="B13" s="356" t="s">
        <v>253</v>
      </c>
      <c r="C13" s="331" t="s">
        <v>141</v>
      </c>
      <c r="D13" s="253">
        <v>10</v>
      </c>
      <c r="E13" s="341">
        <v>5</v>
      </c>
      <c r="F13" s="175"/>
      <c r="G13" s="334" t="s">
        <v>269</v>
      </c>
      <c r="H13" s="333" t="s">
        <v>267</v>
      </c>
    </row>
    <row r="14" spans="1:9" ht="22.5" customHeight="1" x14ac:dyDescent="0.25">
      <c r="A14" s="334" t="s">
        <v>259</v>
      </c>
      <c r="B14" s="356" t="s">
        <v>254</v>
      </c>
      <c r="C14" s="331" t="s">
        <v>141</v>
      </c>
      <c r="D14" s="253">
        <v>45</v>
      </c>
      <c r="E14" s="341">
        <v>35</v>
      </c>
      <c r="F14" s="175"/>
      <c r="G14" s="334" t="s">
        <v>270</v>
      </c>
      <c r="H14" s="333" t="s">
        <v>263</v>
      </c>
    </row>
    <row r="15" spans="1:9" ht="22.5" customHeight="1" x14ac:dyDescent="0.25">
      <c r="A15" s="334" t="s">
        <v>273</v>
      </c>
      <c r="B15" s="356" t="s">
        <v>368</v>
      </c>
      <c r="C15" s="331" t="s">
        <v>25</v>
      </c>
      <c r="D15" s="189" t="str">
        <f>IF(D12="ПУСТО", "", IF(D12="НЧ/ВЧ", IF('Сквозной расчёт фильтров'!D36='Сквозной расчёт фильтров'!G36, 'Сквозной расчёт фильтров'!D36, ""), IF(D12="НЧ/СЧ", IF('Сквозной расчёт фильтров'!D36='Сквозной расчёт фильтров'!J36, 'Сквозной расчёт фильтров'!D36, ""), IF(D12="СЧ/ВЧ", IF('Сквозной расчёт фильтров'!M36='Сквозной расчёт фильтров'!G36, 'Сквозной расчёт фильтров'!M36, ""), ""))))</f>
        <v/>
      </c>
      <c r="E15" s="342" t="str">
        <f>IF(E12="ПУСТО", "", IF(E12="НЧ/ВЧ", IF('Сквозной расчёт фильтров'!D36='Сквозной расчёт фильтров'!G36, 'Сквозной расчёт фильтров'!D36, ""), IF(E12="НЧ/СЧ", IF('Сквозной расчёт фильтров'!D36='Сквозной расчёт фильтров'!J36, 'Сквозной расчёт фильтров'!D36, ""), IF(E12="СЧ/ВЧ", IF('Сквозной расчёт фильтров'!M36='Сквозной расчёт фильтров'!G36, 'Сквозной расчёт фильтров'!M36, ""), ""))))</f>
        <v/>
      </c>
      <c r="F15" s="175"/>
      <c r="G15" s="343" t="s">
        <v>271</v>
      </c>
      <c r="H15" s="333" t="s">
        <v>264</v>
      </c>
    </row>
    <row r="16" spans="1:9" ht="22.5" customHeight="1" x14ac:dyDescent="0.25">
      <c r="A16" s="334" t="s">
        <v>274</v>
      </c>
      <c r="B16" s="357" t="s">
        <v>272</v>
      </c>
      <c r="C16" s="331" t="s">
        <v>25</v>
      </c>
      <c r="D16" s="253">
        <v>1000</v>
      </c>
      <c r="E16" s="341">
        <v>9000</v>
      </c>
      <c r="F16" s="175"/>
    </row>
    <row r="17" spans="1:8" ht="22.5" customHeight="1" x14ac:dyDescent="0.25">
      <c r="A17" s="334" t="s">
        <v>355</v>
      </c>
      <c r="B17" s="356" t="s">
        <v>356</v>
      </c>
      <c r="C17" s="331"/>
      <c r="D17" s="378" t="str">
        <f>IF(OR(D12="ПУСТО",D12=""),"",IF(ISNUMBER(D15),"АВТО: "&amp;TEXT(D15,"0"),IF(AND(ISNUMBER(D16),D16&gt;0),"РУЧН: "&amp;TEXT(D16,"0"),"НЕТ f")))</f>
        <v>РУЧН: 1000</v>
      </c>
      <c r="E17" s="390" t="str">
        <f>IF(OR(E12="ПУСТО",E12=""),"",IF(ISNUMBER(E15),"АВТО: "&amp;TEXT(E15,"0"),IF(AND(ISNUMBER(E16),E16&gt;0),"РУЧН: "&amp;TEXT(E16,"0"),"НЕТ f")))</f>
        <v>РУЧН: 9000</v>
      </c>
      <c r="F17" s="177"/>
      <c r="G17" s="338"/>
    </row>
    <row r="18" spans="1:8" ht="22.5" customHeight="1" thickBot="1" x14ac:dyDescent="0.3">
      <c r="A18" s="334" t="s">
        <v>260</v>
      </c>
      <c r="B18" s="356" t="s">
        <v>255</v>
      </c>
      <c r="C18" s="331" t="s">
        <v>257</v>
      </c>
      <c r="D18" s="422">
        <f>IF(OR(D12="ПУСТО",D12=""),"",((D14-D13)/'Справочные таблицы'!$P$13)*IF(ISNUMBER(D15),D15,D16)*360)</f>
        <v>36.734693877551024</v>
      </c>
      <c r="E18" s="366">
        <f>IF(OR(E12="ПУСТО",E12=""),"",((E14-E13)/'Справочные таблицы'!$P$13)*IF(ISNUMBER(E15),E15,E16)*360)</f>
        <v>283.38192419825072</v>
      </c>
      <c r="F18" s="177"/>
      <c r="G18" s="338"/>
    </row>
    <row r="19" spans="1:8" ht="22.5" customHeight="1" thickTop="1" thickBot="1" x14ac:dyDescent="0.3">
      <c r="A19" s="334" t="s">
        <v>261</v>
      </c>
      <c r="B19" s="357" t="s">
        <v>256</v>
      </c>
      <c r="C19" s="331"/>
      <c r="D19" s="421" t="str">
        <f>IF(D23="","",IF(ABS(MOD(D23+180,360)-180)&gt;90,"+ к –","+ к +"))</f>
        <v>+ к +</v>
      </c>
      <c r="E19" s="420" t="str">
        <f>IF(E23="","",IF(ABS(MOD(E23+180,360)-180)&gt;90,"+ к –","+ к +"))</f>
        <v>+ к +</v>
      </c>
      <c r="F19" s="175"/>
      <c r="G19" s="338"/>
    </row>
    <row r="20" spans="1:8" ht="22.5" customHeight="1" thickTop="1" x14ac:dyDescent="0.25">
      <c r="A20" s="334" t="s">
        <v>359</v>
      </c>
      <c r="B20" s="356" t="s">
        <v>360</v>
      </c>
      <c r="C20" s="331" t="s">
        <v>257</v>
      </c>
      <c r="D20" s="378" cm="1">
        <f t="array" ref="D20">IF(OR(D12="ПУСТО",D12=""),"",_xlfn.LET(_xlpm.pair,D12,_xlpm.geo,D18,_xlpm.hpType,_xlfn.SWITCH(_xlpm.pair,"НЧ/ВЧ",'Сквозной расчёт фильтров'!G38,"НЧ/СЧ",'Сквозной расчёт фильтров'!J38,"СЧ/ВЧ",'Сквозной расчёт фильтров'!G38,""),_xlpm.lpType,_xlfn.SWITCH(_xlpm.pair,"НЧ/ВЧ",'Сквозной расчёт фильтров'!D38,"НЧ/СЧ",'Сквозной расчёт фильтров'!D38,"СЧ/ВЧ",'Сквозной расчёт фильтров'!M38,""),_xlpm.hpPhase,_xlfn.SWITCH(_xlpm.hpType,"Бт1",45,"Бт2",90,"Бе2",90,"ЛР2",90,"Бт3",135,"Бе3",135,"ЛР4",180,0),_xlpm.lpPhase,_xlfn.SWITCH(_xlpm.lpType,"Бт1",45,"Бт2",90,"Бе2",90,"ЛР2",90,"Бт3",135,"Бе3",135,"ЛР4",180,0),MOD(_xlpm.geo+_xlpm.hpPhase+_xlpm.lpPhase,360)))</f>
        <v>36.734693877551024</v>
      </c>
      <c r="E20" s="390" cm="1">
        <f t="array" ref="E20">IF(OR(E12="ПУСТО",E12=""),"",_xlfn.LET(_xlpm.pair,E12,_xlpm.geo,E18,_xlpm.hpType,_xlfn.SWITCH(_xlpm.pair,"НЧ/ВЧ",'Сквозной расчёт фильтров'!G38,"НЧ/СЧ",'Сквозной расчёт фильтров'!J38,"СЧ/ВЧ",'Сквозной расчёт фильтров'!G38,""),_xlpm.lpType,_xlfn.SWITCH(_xlpm.pair,"НЧ/ВЧ",'Сквозной расчёт фильтров'!D38,"НЧ/СЧ",'Сквозной расчёт фильтров'!D38,"СЧ/ВЧ",'Сквозной расчёт фильтров'!M38,""),_xlpm.hpPhase,_xlfn.SWITCH(_xlpm.hpType,"Бт1",45,"Бт2",90,"Бе2",90,"ЛР2",90,"Бт3",135,"Бе3",135,"ЛР4",180,0),_xlpm.lpPhase,_xlfn.SWITCH(_xlpm.lpType,"Бт1",45,"Бт2",90,"Бе2",90,"ЛР2",90,"Бт3",135,"Бе3",135,"ЛР4",180,0),MOD(_xlpm.geo+_xlpm.hpPhase+_xlpm.lpPhase,360)))</f>
        <v>283.38192419825077</v>
      </c>
      <c r="F20" s="177"/>
      <c r="G20" s="338" t="s">
        <v>365</v>
      </c>
    </row>
    <row r="21" spans="1:8" ht="22.5" customHeight="1" x14ac:dyDescent="0.25">
      <c r="A21" s="334" t="s">
        <v>461</v>
      </c>
      <c r="B21" s="356" t="s">
        <v>462</v>
      </c>
      <c r="C21" s="331" t="s">
        <v>257</v>
      </c>
      <c r="D21" s="389">
        <v>0</v>
      </c>
      <c r="E21" s="388">
        <v>0</v>
      </c>
      <c r="F21" s="177"/>
      <c r="G21" s="338"/>
    </row>
    <row r="22" spans="1:8" ht="22.5" customHeight="1" x14ac:dyDescent="0.25">
      <c r="A22" s="334" t="s">
        <v>463</v>
      </c>
      <c r="B22" s="356" t="s">
        <v>464</v>
      </c>
      <c r="C22" s="331" t="s">
        <v>465</v>
      </c>
      <c r="D22" s="375">
        <v>0</v>
      </c>
      <c r="E22" s="388">
        <v>0</v>
      </c>
      <c r="F22" s="177"/>
      <c r="G22" s="338"/>
    </row>
    <row r="23" spans="1:8" ht="22.5" customHeight="1" x14ac:dyDescent="0.25">
      <c r="A23" s="334" t="s">
        <v>466</v>
      </c>
      <c r="B23" s="356" t="s">
        <v>467</v>
      </c>
      <c r="C23" s="331" t="s">
        <v>257</v>
      </c>
      <c r="D23" s="389">
        <f>IF(D20="","",MOD(D20+D21-360*IF(ISNUMBER(D15),D15,D16)*D22/1000,360))</f>
        <v>36.734693877551024</v>
      </c>
      <c r="E23" s="388">
        <f>IF(E20="","",MOD(E20+E21-360*IF(ISNUMBER(E15),E15,E16)*E22/1000,360))</f>
        <v>283.38192419825077</v>
      </c>
      <c r="F23" s="177"/>
      <c r="G23" s="338"/>
    </row>
    <row r="24" spans="1:8" ht="22.5" customHeight="1" thickBot="1" x14ac:dyDescent="0.3">
      <c r="A24" s="334" t="s">
        <v>361</v>
      </c>
      <c r="B24" s="356" t="s">
        <v>362</v>
      </c>
      <c r="C24" s="331" t="s">
        <v>257</v>
      </c>
      <c r="D24" s="374">
        <f>IF(D23="","",MOD(D23+IF(D19="+ к –",180,0)+180,360)-180)</f>
        <v>36.734693877551024</v>
      </c>
      <c r="E24" s="367">
        <f>IF(E23="","",MOD(E23+IF(E19="+ к –",180,0)+180,360)-180)</f>
        <v>-76.618075801749228</v>
      </c>
      <c r="F24" s="177"/>
      <c r="G24" s="376" t="s">
        <v>366</v>
      </c>
    </row>
    <row r="25" spans="1:8" ht="22.5" customHeight="1" thickTop="1" thickBot="1" x14ac:dyDescent="0.3">
      <c r="A25" s="334" t="s">
        <v>363</v>
      </c>
      <c r="B25" s="356" t="s">
        <v>364</v>
      </c>
      <c r="C25" s="331" t="s">
        <v>141</v>
      </c>
      <c r="D25" s="371">
        <f>IF(D24="","",-D24/360*'Справочные таблицы'!$P$13/IF(ISNUMBER(D15),D15,D16))</f>
        <v>-35.000000000000007</v>
      </c>
      <c r="E25" s="372">
        <f>IF(E24="","",-E24/360*'Справочные таблицы'!$P$13/IF(ISNUMBER(E15),E15,E16))</f>
        <v>8.1111111111111054</v>
      </c>
      <c r="F25" s="177"/>
      <c r="G25" s="338"/>
    </row>
    <row r="26" spans="1:8" s="398" customFormat="1" ht="37.5" customHeight="1" thickTop="1" x14ac:dyDescent="0.25">
      <c r="A26" s="12" t="s">
        <v>311</v>
      </c>
      <c r="D26" s="397"/>
      <c r="E26" s="400"/>
      <c r="F26" s="397"/>
      <c r="G26" s="403"/>
    </row>
    <row r="27" spans="1:8" ht="22.5" customHeight="1" x14ac:dyDescent="0.25">
      <c r="A27" s="334" t="s">
        <v>302</v>
      </c>
      <c r="B27" s="255" t="s">
        <v>309</v>
      </c>
      <c r="C27" s="331" t="s">
        <v>141</v>
      </c>
      <c r="D27" s="355">
        <v>120</v>
      </c>
      <c r="E27" s="253">
        <v>70</v>
      </c>
      <c r="F27" s="332"/>
      <c r="G27" s="254" t="s">
        <v>306</v>
      </c>
      <c r="H27" s="354" t="s">
        <v>303</v>
      </c>
    </row>
    <row r="28" spans="1:8" ht="22.5" customHeight="1" x14ac:dyDescent="0.25">
      <c r="A28" s="334" t="s">
        <v>301</v>
      </c>
      <c r="B28" s="255" t="s">
        <v>309</v>
      </c>
      <c r="C28" s="331" t="s">
        <v>141</v>
      </c>
      <c r="D28" s="355">
        <v>220</v>
      </c>
      <c r="E28" s="253">
        <v>160</v>
      </c>
      <c r="F28" s="332"/>
      <c r="G28" s="254" t="s">
        <v>307</v>
      </c>
      <c r="H28" s="354" t="s">
        <v>304</v>
      </c>
    </row>
    <row r="29" spans="1:8" ht="22.5" customHeight="1" x14ac:dyDescent="0.25">
      <c r="A29" s="334" t="s">
        <v>300</v>
      </c>
      <c r="B29" s="255"/>
      <c r="C29" s="331" t="s">
        <v>141</v>
      </c>
      <c r="D29" s="355">
        <v>10</v>
      </c>
      <c r="E29" s="253">
        <v>3</v>
      </c>
      <c r="F29" s="332"/>
      <c r="G29" s="254" t="s">
        <v>308</v>
      </c>
      <c r="H29" s="354" t="s">
        <v>305</v>
      </c>
    </row>
    <row r="30" spans="1:8" ht="22.5" customHeight="1" x14ac:dyDescent="0.25">
      <c r="A30" s="334" t="s">
        <v>299</v>
      </c>
      <c r="B30" s="255"/>
      <c r="C30" s="331" t="s">
        <v>141</v>
      </c>
      <c r="D30" s="412">
        <f>(D27/2) + (D28/2) + D29</f>
        <v>180</v>
      </c>
      <c r="E30" s="423">
        <f>(E27/2) + (E28/2) + E29</f>
        <v>118</v>
      </c>
      <c r="F30" s="332"/>
      <c r="G30" s="332"/>
      <c r="H30" s="332"/>
    </row>
    <row r="31" spans="1:8" ht="22.5" customHeight="1" x14ac:dyDescent="0.25">
      <c r="A31" s="334" t="s">
        <v>367</v>
      </c>
      <c r="B31" s="255" t="s">
        <v>368</v>
      </c>
      <c r="C31" s="331" t="s">
        <v>25</v>
      </c>
      <c r="D31" s="410">
        <f>IF(OR(D12="ПУСТО",D12=""),"",IF(ISNUMBER(D15),D15,D16))</f>
        <v>1000</v>
      </c>
      <c r="E31" s="411">
        <f>IF(OR(E12="ПУСТО",E12=""),"",IF(ISNUMBER(E15),E15,E16))</f>
        <v>9000</v>
      </c>
      <c r="F31" s="332"/>
      <c r="G31" s="332"/>
      <c r="H31" s="332"/>
    </row>
    <row r="32" spans="1:8" ht="22.5" customHeight="1" x14ac:dyDescent="0.25">
      <c r="A32" s="334" t="s">
        <v>369</v>
      </c>
      <c r="B32" s="255" t="s">
        <v>370</v>
      </c>
      <c r="C32" s="331"/>
      <c r="D32" s="413">
        <f>IF(OR(D30&lt;=0,D31&lt;=0),"",D30*D31/'Справочные таблицы'!$P$13)</f>
        <v>0.52478134110787167</v>
      </c>
      <c r="E32" s="414">
        <f>IF(OR(E30&lt;=0,E31&lt;=0),"",E30*E31/'Справочные таблицы'!$P$13)</f>
        <v>3.0962099125364433</v>
      </c>
      <c r="F32" s="332"/>
      <c r="G32" s="332"/>
      <c r="H32" s="332"/>
    </row>
    <row r="33" spans="1:14" ht="22.5" customHeight="1" x14ac:dyDescent="0.25">
      <c r="A33" s="334" t="s">
        <v>371</v>
      </c>
      <c r="B33" s="255" t="s">
        <v>372</v>
      </c>
      <c r="C33" s="331" t="s">
        <v>257</v>
      </c>
      <c r="D33" s="386">
        <f>IF(D32="","",IF(D32&lt;=0.5,90,DEGREES(ASIN(1/(2*D32)))))</f>
        <v>72.321929517016414</v>
      </c>
      <c r="E33" s="387">
        <f>IF(E32="","",IF(E32&lt;=0.5,90,DEGREES(ASIN(1/(2*E32)))))</f>
        <v>9.293261621041415</v>
      </c>
      <c r="F33" s="332"/>
      <c r="G33" s="332"/>
      <c r="H33" s="332"/>
    </row>
    <row r="34" spans="1:14" ht="22.5" customHeight="1" x14ac:dyDescent="0.25">
      <c r="A34" s="334" t="s">
        <v>373</v>
      </c>
      <c r="B34" s="255" t="s">
        <v>374</v>
      </c>
      <c r="C34" s="331" t="s">
        <v>141</v>
      </c>
      <c r="D34" s="408">
        <v>2500</v>
      </c>
      <c r="E34" s="424">
        <v>2500</v>
      </c>
      <c r="F34" s="332"/>
      <c r="G34" s="332"/>
      <c r="H34" s="332"/>
    </row>
    <row r="35" spans="1:14" ht="22.5" customHeight="1" x14ac:dyDescent="0.25">
      <c r="A35" s="334" t="s">
        <v>468</v>
      </c>
      <c r="B35" s="255" t="s">
        <v>469</v>
      </c>
      <c r="C35" s="331" t="s">
        <v>141</v>
      </c>
      <c r="D35" s="408">
        <v>950</v>
      </c>
      <c r="E35" s="424">
        <v>950</v>
      </c>
      <c r="F35" s="332"/>
      <c r="G35" s="332"/>
      <c r="H35" s="332"/>
    </row>
    <row r="36" spans="1:14" ht="22.5" customHeight="1" x14ac:dyDescent="0.25">
      <c r="A36" s="334" t="s">
        <v>470</v>
      </c>
      <c r="B36" s="255" t="s">
        <v>471</v>
      </c>
      <c r="C36" s="331" t="s">
        <v>141</v>
      </c>
      <c r="D36" s="386">
        <v>850</v>
      </c>
      <c r="E36" s="387">
        <v>850</v>
      </c>
      <c r="F36" s="332"/>
      <c r="G36" s="332"/>
      <c r="H36" s="332"/>
    </row>
    <row r="37" spans="1:14" ht="22.5" customHeight="1" x14ac:dyDescent="0.25">
      <c r="A37" s="334" t="s">
        <v>472</v>
      </c>
      <c r="B37" s="255" t="s">
        <v>473</v>
      </c>
      <c r="C37" s="331" t="s">
        <v>141</v>
      </c>
      <c r="D37" s="386">
        <v>1250</v>
      </c>
      <c r="E37" s="409">
        <v>1250</v>
      </c>
      <c r="F37" s="332"/>
      <c r="G37" s="332"/>
      <c r="H37" s="332"/>
    </row>
    <row r="38" spans="1:14" ht="22.5" customHeight="1" x14ac:dyDescent="0.25">
      <c r="A38" s="334" t="s">
        <v>474</v>
      </c>
      <c r="B38" s="255" t="s">
        <v>375</v>
      </c>
      <c r="C38" s="331" t="s">
        <v>257</v>
      </c>
      <c r="D38" s="386">
        <f>IF(OR(D34&lt;=0,D35="",D36="",D37=""),"",MAX(ABS(DEGREES(ATAN((D36-D35)/D34))),ABS(DEGREES(ATAN((D37-D35)/D34)))))</f>
        <v>6.8427734126309403</v>
      </c>
      <c r="E38" s="387">
        <f>IF(OR(E34&lt;=0,E35="",E36="",E37=""),"",MAX(ABS(DEGREES(ATAN((E36-E35)/E34))),ABS(DEGREES(ATAN((E37-E35)/E34)))))</f>
        <v>6.8427734126309403</v>
      </c>
      <c r="F38" s="332"/>
      <c r="G38" s="332"/>
      <c r="H38" s="332"/>
    </row>
    <row r="39" spans="1:14" ht="22.5" customHeight="1" thickBot="1" x14ac:dyDescent="0.3">
      <c r="A39" s="334" t="s">
        <v>376</v>
      </c>
      <c r="B39" s="255" t="s">
        <v>555</v>
      </c>
      <c r="C39" s="331" t="s">
        <v>25</v>
      </c>
      <c r="D39" s="369">
        <f>IF(D30=0, "", 'Справочные таблицы'!$P$13 / D30)</f>
        <v>1905.5555555555557</v>
      </c>
      <c r="E39" s="415">
        <f>IF(E30=0, "", 'Справочные таблицы'!$P$13 / E30)</f>
        <v>2906.7796610169494</v>
      </c>
      <c r="F39" s="332"/>
      <c r="G39" s="332"/>
      <c r="H39" s="332"/>
    </row>
    <row r="40" spans="1:14" ht="22.5" customHeight="1" thickTop="1" x14ac:dyDescent="0.25">
      <c r="A40" s="334"/>
      <c r="B40" s="255"/>
      <c r="C40" s="331"/>
      <c r="D40" s="370" t="str">
        <f>IF(OR(D12="ПУСТО",D12=""),"",IF(D32&lt;=0.5,"Идеально: d &lt;= λ/2",IF(D33&lt;=D38,"РИСК: провал в зоне",IF(D33&lt;=D38+5,"ПОГРАНИЧНО: малый запас","Хорошо: провал вне зоны"))))</f>
        <v>Хорошо: провал вне зоны</v>
      </c>
      <c r="E40" s="377" t="str">
        <f>IF(OR(E12="ПУСТО",E12=""),"",IF(E32&lt;=0.5,"Идеально: d &lt;= λ/2",IF(E33&lt;=E38,"РИСК: провал в зоне",IF(E33&lt;=E38+5,"ПОГРАНИЧНО: малый запас","Хорошо: провал вне зоны"))))</f>
        <v>ПОГРАНИЧНО: малый запас</v>
      </c>
      <c r="F40" s="332"/>
      <c r="G40" s="332"/>
      <c r="H40" s="332"/>
    </row>
    <row r="41" spans="1:14" s="398" customFormat="1" ht="37.5" customHeight="1" x14ac:dyDescent="0.25">
      <c r="A41" s="12" t="s">
        <v>513</v>
      </c>
      <c r="D41" s="397"/>
      <c r="E41" s="400"/>
      <c r="F41" s="397"/>
      <c r="J41" s="404"/>
      <c r="K41" s="404"/>
      <c r="L41" s="404"/>
      <c r="M41" s="404"/>
      <c r="N41" s="404"/>
    </row>
    <row r="42" spans="1:14" ht="22.5" customHeight="1" x14ac:dyDescent="0.25">
      <c r="A42" s="334" t="s">
        <v>377</v>
      </c>
      <c r="B42" s="334" t="s">
        <v>378</v>
      </c>
      <c r="C42" s="331"/>
      <c r="D42" s="368" t="s">
        <v>379</v>
      </c>
      <c r="E42" s="340"/>
      <c r="F42" s="179"/>
      <c r="G42" s="70" t="s">
        <v>380</v>
      </c>
      <c r="H42" s="334"/>
      <c r="J42" s="359"/>
      <c r="K42" s="359"/>
      <c r="L42" s="359"/>
      <c r="M42" s="359"/>
      <c r="N42" s="359" t="s">
        <v>379</v>
      </c>
    </row>
    <row r="43" spans="1:14" ht="22.5" customHeight="1" x14ac:dyDescent="0.25">
      <c r="A43" s="334" t="s">
        <v>381</v>
      </c>
      <c r="B43" s="334" t="s">
        <v>382</v>
      </c>
      <c r="C43" s="331" t="s">
        <v>383</v>
      </c>
      <c r="D43" s="368">
        <v>1</v>
      </c>
      <c r="E43" s="340"/>
      <c r="F43" s="179"/>
      <c r="H43" s="334"/>
      <c r="J43" s="359"/>
      <c r="K43" s="359"/>
      <c r="L43" s="359"/>
      <c r="M43" s="359"/>
      <c r="N43" s="359" t="s">
        <v>417</v>
      </c>
    </row>
    <row r="44" spans="1:14" ht="22.5" customHeight="1" x14ac:dyDescent="0.25">
      <c r="A44" s="334" t="s">
        <v>357</v>
      </c>
      <c r="B44" s="334" t="s">
        <v>358</v>
      </c>
      <c r="C44" s="331" t="s">
        <v>243</v>
      </c>
      <c r="D44" s="368">
        <v>37.200000000000003</v>
      </c>
      <c r="E44" s="340"/>
      <c r="F44" s="179"/>
      <c r="H44" s="334"/>
      <c r="J44" s="359"/>
      <c r="K44" s="359"/>
      <c r="L44" s="359"/>
      <c r="M44" s="359"/>
      <c r="N44" s="359"/>
    </row>
    <row r="45" spans="1:14" ht="22.5" customHeight="1" x14ac:dyDescent="0.25">
      <c r="A45" s="334" t="s">
        <v>313</v>
      </c>
      <c r="B45" s="334" t="s">
        <v>384</v>
      </c>
      <c r="C45" s="331" t="s">
        <v>25</v>
      </c>
      <c r="D45" s="368">
        <v>40</v>
      </c>
      <c r="E45" s="340"/>
      <c r="F45" s="179"/>
      <c r="H45" s="334"/>
      <c r="J45" s="359"/>
      <c r="K45" s="359"/>
      <c r="L45" s="359"/>
      <c r="M45" s="359"/>
      <c r="N45" s="359"/>
    </row>
    <row r="46" spans="1:14" ht="22.5" customHeight="1" x14ac:dyDescent="0.25">
      <c r="A46" s="334" t="s">
        <v>385</v>
      </c>
      <c r="B46" s="334" t="s">
        <v>386</v>
      </c>
      <c r="C46" s="331"/>
      <c r="D46" s="395" t="s">
        <v>387</v>
      </c>
      <c r="E46" s="340"/>
      <c r="F46" s="179"/>
      <c r="G46" s="70" t="s">
        <v>514</v>
      </c>
      <c r="H46" s="334"/>
      <c r="J46" s="359"/>
      <c r="K46" s="359"/>
      <c r="L46" s="359"/>
      <c r="M46" s="359"/>
      <c r="N46" s="359" t="s">
        <v>418</v>
      </c>
    </row>
    <row r="47" spans="1:14" ht="22.5" customHeight="1" x14ac:dyDescent="0.25">
      <c r="A47" s="334" t="s">
        <v>388</v>
      </c>
      <c r="B47" s="334" t="s">
        <v>309</v>
      </c>
      <c r="C47" s="331" t="s">
        <v>141</v>
      </c>
      <c r="D47" s="368">
        <v>80</v>
      </c>
      <c r="E47" s="340"/>
      <c r="F47" s="179"/>
      <c r="H47" s="334"/>
      <c r="J47" s="359"/>
      <c r="K47" s="359"/>
      <c r="L47" s="359"/>
      <c r="M47" s="359"/>
      <c r="N47" s="359" t="s">
        <v>387</v>
      </c>
    </row>
    <row r="48" spans="1:14" ht="22.5" customHeight="1" x14ac:dyDescent="0.25">
      <c r="A48" s="334" t="s">
        <v>389</v>
      </c>
      <c r="B48" s="334" t="s">
        <v>390</v>
      </c>
      <c r="C48" s="331" t="s">
        <v>141</v>
      </c>
      <c r="D48" s="368">
        <v>20</v>
      </c>
      <c r="E48" s="340"/>
      <c r="F48" s="179"/>
      <c r="H48" s="334"/>
      <c r="J48" s="359"/>
      <c r="K48" s="359"/>
      <c r="L48" s="359"/>
      <c r="M48" s="359"/>
      <c r="N48" s="359" t="s">
        <v>419</v>
      </c>
    </row>
    <row r="49" spans="1:15" ht="22.5" customHeight="1" thickBot="1" x14ac:dyDescent="0.3">
      <c r="A49" s="334" t="s">
        <v>391</v>
      </c>
      <c r="B49" s="334" t="s">
        <v>392</v>
      </c>
      <c r="C49" s="331" t="s">
        <v>141</v>
      </c>
      <c r="D49" s="416">
        <v>250</v>
      </c>
      <c r="E49" s="340"/>
      <c r="F49" s="179"/>
      <c r="H49" s="334"/>
      <c r="J49" s="359"/>
      <c r="K49" s="359"/>
      <c r="L49" s="359"/>
      <c r="M49" s="359"/>
      <c r="N49" s="359"/>
    </row>
    <row r="50" spans="1:15" ht="22.5" customHeight="1" thickTop="1" x14ac:dyDescent="0.25">
      <c r="A50" s="334" t="s">
        <v>393</v>
      </c>
      <c r="B50" s="334" t="s">
        <v>394</v>
      </c>
      <c r="C50" s="331" t="s">
        <v>395</v>
      </c>
      <c r="D50" s="373">
        <f>IF(D42="Круглый",PI()*D47^2/4/100,IF(D42="Щелевой",D48*D49/100,""))</f>
        <v>50.26548245743669</v>
      </c>
      <c r="E50" s="340"/>
      <c r="F50" s="179"/>
      <c r="H50" s="334"/>
      <c r="J50" s="359"/>
      <c r="K50" s="359"/>
      <c r="L50" s="359"/>
      <c r="M50" s="359"/>
      <c r="N50" s="359"/>
    </row>
    <row r="51" spans="1:15" ht="22.5" customHeight="1" x14ac:dyDescent="0.25">
      <c r="A51" s="334" t="s">
        <v>396</v>
      </c>
      <c r="B51" s="334" t="s">
        <v>397</v>
      </c>
      <c r="C51" s="331" t="s">
        <v>395</v>
      </c>
      <c r="D51" s="373">
        <f>IF(OR(D50="",D43&lt;=0),"",D50*D43)</f>
        <v>50.26548245743669</v>
      </c>
      <c r="E51" s="340"/>
      <c r="F51" s="179"/>
      <c r="H51" s="334"/>
      <c r="J51" s="359"/>
      <c r="K51" s="359"/>
      <c r="L51" s="359"/>
      <c r="M51" s="359"/>
      <c r="N51" s="359"/>
    </row>
    <row r="52" spans="1:15" ht="22.5" customHeight="1" x14ac:dyDescent="0.25">
      <c r="A52" s="334" t="s">
        <v>398</v>
      </c>
      <c r="B52" s="334" t="s">
        <v>399</v>
      </c>
      <c r="C52" s="331" t="s">
        <v>141</v>
      </c>
      <c r="D52" s="375">
        <f>IF(D50="","",SQRT(4*(D50*100)/PI()))</f>
        <v>80</v>
      </c>
      <c r="E52" s="340"/>
      <c r="F52" s="179"/>
      <c r="H52" s="334"/>
      <c r="J52" s="359"/>
      <c r="K52" s="359"/>
      <c r="L52" s="359"/>
      <c r="M52" s="359"/>
      <c r="N52" s="359"/>
    </row>
    <row r="53" spans="1:15" ht="22.5" customHeight="1" x14ac:dyDescent="0.25">
      <c r="A53" s="334" t="s">
        <v>400</v>
      </c>
      <c r="B53" s="334" t="s">
        <v>5</v>
      </c>
      <c r="C53" s="331" t="s">
        <v>141</v>
      </c>
      <c r="D53" s="375" cm="1">
        <f t="array" ref="D53">IF(OR(D44&lt;=0,D45&lt;=0,D51&lt;=0,D52&lt;=0),"",('Справочные таблицы'!$P$13/1000)^2*(D51*100)/(4*PI()^2*D45^2*D44)-_xlfn.SWITCH(D46,"Два свободных",0.61,"Один фланец",0.73,"Два фланца",0.82,0.73)*D52)</f>
        <v>193.27231048143</v>
      </c>
      <c r="E53" s="340"/>
      <c r="F53" s="179"/>
      <c r="H53" s="334"/>
      <c r="J53" s="359"/>
      <c r="K53" s="359"/>
      <c r="L53" s="359"/>
      <c r="M53" s="359"/>
      <c r="N53" s="359"/>
    </row>
    <row r="54" spans="1:15" ht="22.5" customHeight="1" x14ac:dyDescent="0.25">
      <c r="A54" s="334" t="s">
        <v>401</v>
      </c>
      <c r="B54" s="334" t="s">
        <v>402</v>
      </c>
      <c r="C54" s="331" t="s">
        <v>243</v>
      </c>
      <c r="D54" s="373">
        <f>IF(OR(D53&lt;=0,D51&lt;=0),"",D51*100*D53/1000000)</f>
        <v>0.9714925932012578</v>
      </c>
      <c r="E54" s="340"/>
      <c r="F54" s="179"/>
      <c r="H54" s="334"/>
      <c r="J54" s="359"/>
      <c r="K54" s="359"/>
      <c r="L54" s="359"/>
      <c r="M54" s="359"/>
      <c r="N54" s="359"/>
    </row>
    <row r="55" spans="1:15" ht="22.5" customHeight="1" x14ac:dyDescent="0.25">
      <c r="A55" s="334" t="s">
        <v>475</v>
      </c>
      <c r="B55" s="334" t="s">
        <v>403</v>
      </c>
      <c r="C55" s="331" t="s">
        <v>243</v>
      </c>
      <c r="D55" s="373">
        <f>IF(D54="","",D44+D54)</f>
        <v>38.171492593201258</v>
      </c>
      <c r="E55" s="340"/>
      <c r="F55" s="179"/>
      <c r="H55" s="334"/>
      <c r="J55" s="359"/>
      <c r="K55" s="359"/>
      <c r="L55" s="359"/>
      <c r="M55" s="359"/>
      <c r="N55" s="359"/>
    </row>
    <row r="56" spans="1:15" ht="22.5" customHeight="1" x14ac:dyDescent="0.25">
      <c r="A56" s="334" t="s">
        <v>404</v>
      </c>
      <c r="B56" s="334" t="s">
        <v>405</v>
      </c>
      <c r="C56" s="331" t="s">
        <v>25</v>
      </c>
      <c r="D56" s="375">
        <f>IF(D53&lt;=0,"",'Справочные таблицы'!$P$13/(2*D53))</f>
        <v>887.3490443240604</v>
      </c>
      <c r="E56" s="340"/>
      <c r="F56" s="179"/>
      <c r="H56" s="334"/>
      <c r="J56" s="359"/>
      <c r="K56" s="359"/>
      <c r="L56" s="359"/>
      <c r="M56" s="359"/>
      <c r="N56" s="359"/>
    </row>
    <row r="57" spans="1:15" ht="22.5" customHeight="1" x14ac:dyDescent="0.25">
      <c r="A57" s="334" t="s">
        <v>406</v>
      </c>
      <c r="B57" s="334" t="s">
        <v>407</v>
      </c>
      <c r="C57" s="331"/>
      <c r="D57" s="394" t="str">
        <f>IF(D56="","",IF(D56&lt;='Сквозной расчёт фильтров'!D36,"ОШИБКА: мода в полосе НЧ",IF(D56&lt;=2*'Сквозной расчёт фильтров'!D36,"ВНИМАНИЕ: близко к полосе НЧ","НОРМА")))</f>
        <v>ОШИБКА: мода в полосе НЧ</v>
      </c>
      <c r="E57" s="340"/>
      <c r="F57" s="179"/>
      <c r="G57" s="70" t="s">
        <v>408</v>
      </c>
      <c r="H57" s="334"/>
      <c r="J57" s="359"/>
      <c r="K57" s="359"/>
      <c r="L57" s="359"/>
      <c r="M57" s="359"/>
      <c r="N57" s="359"/>
    </row>
    <row r="58" spans="1:15" ht="22.5" customHeight="1" x14ac:dyDescent="0.25">
      <c r="A58" s="334" t="s">
        <v>409</v>
      </c>
      <c r="B58" s="334" t="s">
        <v>410</v>
      </c>
      <c r="C58" s="331"/>
      <c r="D58" s="373" t="str">
        <f>IF(D42&lt;&gt;"Щелевой","",IF(OR(D48&lt;=0,D49&lt;=0),"",MAX(D48,D49)/MIN(D48,D49)))</f>
        <v/>
      </c>
      <c r="E58" s="340"/>
      <c r="F58" s="179"/>
      <c r="H58" s="334"/>
      <c r="J58" s="359"/>
      <c r="K58" s="359"/>
      <c r="L58" s="359"/>
      <c r="M58" s="359"/>
      <c r="N58" s="359"/>
    </row>
    <row r="59" spans="1:15" ht="22.5" customHeight="1" x14ac:dyDescent="0.25">
      <c r="A59" s="334" t="s">
        <v>411</v>
      </c>
      <c r="B59" s="334" t="s">
        <v>412</v>
      </c>
      <c r="C59" s="331" t="s">
        <v>141</v>
      </c>
      <c r="D59" s="425">
        <v>100</v>
      </c>
      <c r="E59" s="340"/>
      <c r="F59" s="179"/>
      <c r="H59" s="334"/>
      <c r="J59" s="359"/>
      <c r="K59" s="359"/>
      <c r="L59" s="359"/>
      <c r="M59" s="359"/>
      <c r="N59" s="359"/>
    </row>
    <row r="60" spans="1:15" ht="22.5" customHeight="1" x14ac:dyDescent="0.25">
      <c r="A60" s="334" t="s">
        <v>413</v>
      </c>
      <c r="B60" s="334" t="s">
        <v>414</v>
      </c>
      <c r="C60" s="331" t="s">
        <v>141</v>
      </c>
      <c r="D60" s="375">
        <f>IF(D52="","",D52)</f>
        <v>80</v>
      </c>
      <c r="G60" s="331"/>
      <c r="H60" s="175"/>
      <c r="I60" s="358"/>
      <c r="J60" s="358"/>
      <c r="K60" s="358"/>
      <c r="L60" s="358"/>
      <c r="M60" s="358"/>
      <c r="N60" s="358"/>
      <c r="O60" s="358"/>
    </row>
    <row r="61" spans="1:15" ht="22.5" customHeight="1" thickBot="1" x14ac:dyDescent="0.3">
      <c r="A61" s="334" t="s">
        <v>415</v>
      </c>
      <c r="B61" s="396" t="s">
        <v>407</v>
      </c>
      <c r="C61" s="331"/>
      <c r="D61" s="393" t="str">
        <f>IF(OR(D59="",D60=""),"",IF(D59&gt;=D60,"НОРМА","УВЕЛИЧИТЬ ЗАЗОР"))</f>
        <v>НОРМА</v>
      </c>
      <c r="G61" s="331"/>
      <c r="H61" s="299"/>
      <c r="I61" s="358"/>
      <c r="J61" s="358"/>
      <c r="K61" s="358"/>
      <c r="L61" s="358"/>
      <c r="M61" s="358"/>
      <c r="N61" s="358"/>
      <c r="O61" s="358"/>
    </row>
    <row r="62" spans="1:15" ht="22.5" customHeight="1" thickTop="1" thickBot="1" x14ac:dyDescent="0.3">
      <c r="A62" s="334" t="s">
        <v>416</v>
      </c>
      <c r="B62" s="334" t="s">
        <v>407</v>
      </c>
      <c r="C62" s="331"/>
      <c r="D62" s="392" t="str">
        <f>IF(D53="","",IF(D53&lt;=0,"ОШИБКА: длина &lt;= 0",IF(D53&gt;600,"ВНИМАНИЕ: длина &gt; 600 мм",IF(AND(D42="Щелевой",D58&gt;8),"ВНИМАНИЕ: W/H &gt; 8",IF(AND(D42="Щелевой",MIN(D48,D49)&lt;15),"ВНИМАНИЕ: щель &lt; 15 мм",IF(D61&lt;&gt;"НОРМА","ВНИМАНИЕ: внутренний зазор",IF(D57&lt;&gt;"НОРМА",D57,"ГЕОМЕТРИЯ: НОРМА")))))))</f>
        <v>ОШИБКА: мода в полосе НЧ</v>
      </c>
      <c r="G62" s="352" t="s">
        <v>437</v>
      </c>
      <c r="H62" s="177"/>
      <c r="I62" s="358"/>
      <c r="J62" s="358"/>
      <c r="K62" s="358"/>
      <c r="L62" s="358"/>
      <c r="M62" s="358"/>
      <c r="N62" s="358"/>
      <c r="O62" s="358"/>
    </row>
    <row r="63" spans="1:15" ht="22.5" customHeight="1" thickTop="1" x14ac:dyDescent="0.25">
      <c r="A63" s="334" t="s">
        <v>476</v>
      </c>
      <c r="B63" s="334" t="s">
        <v>477</v>
      </c>
      <c r="C63" s="331" t="s">
        <v>243</v>
      </c>
      <c r="D63" s="417">
        <v>0</v>
      </c>
      <c r="G63" s="352" t="s">
        <v>497</v>
      </c>
      <c r="H63" s="177"/>
      <c r="I63" s="358"/>
      <c r="J63" s="358"/>
      <c r="K63" s="358"/>
      <c r="L63" s="358"/>
      <c r="M63" s="358"/>
      <c r="N63" s="358"/>
      <c r="O63" s="358"/>
    </row>
    <row r="64" spans="1:15" ht="22.5" customHeight="1" x14ac:dyDescent="0.25">
      <c r="A64" s="334" t="s">
        <v>478</v>
      </c>
      <c r="B64" s="334" t="s">
        <v>479</v>
      </c>
      <c r="C64" s="331" t="s">
        <v>243</v>
      </c>
      <c r="D64" s="378">
        <v>0</v>
      </c>
      <c r="G64" s="331"/>
      <c r="H64" s="177"/>
      <c r="I64" s="358"/>
      <c r="J64" s="358"/>
      <c r="K64" s="358"/>
      <c r="L64" s="358"/>
      <c r="M64" s="358"/>
      <c r="N64" s="358"/>
      <c r="O64" s="358"/>
    </row>
    <row r="65" spans="1:15" ht="22.5" customHeight="1" x14ac:dyDescent="0.25">
      <c r="A65" s="334" t="s">
        <v>480</v>
      </c>
      <c r="B65" s="334" t="s">
        <v>481</v>
      </c>
      <c r="C65" s="331" t="s">
        <v>243</v>
      </c>
      <c r="D65" s="378">
        <v>0</v>
      </c>
      <c r="G65" s="331"/>
      <c r="H65" s="177"/>
      <c r="I65" s="358"/>
      <c r="J65" s="358"/>
      <c r="K65" s="358"/>
      <c r="L65" s="358"/>
      <c r="M65" s="358"/>
      <c r="N65" s="358"/>
      <c r="O65" s="358"/>
    </row>
    <row r="66" spans="1:15" ht="22.5" customHeight="1" x14ac:dyDescent="0.25">
      <c r="A66" s="334" t="s">
        <v>482</v>
      </c>
      <c r="B66" s="334" t="s">
        <v>483</v>
      </c>
      <c r="C66" s="331" t="s">
        <v>243</v>
      </c>
      <c r="D66" s="378">
        <v>0</v>
      </c>
      <c r="G66" s="331"/>
      <c r="H66" s="177"/>
      <c r="I66" s="358"/>
      <c r="J66" s="358"/>
      <c r="K66" s="358"/>
      <c r="L66" s="358"/>
      <c r="M66" s="358"/>
      <c r="N66" s="358"/>
      <c r="O66" s="358"/>
    </row>
    <row r="67" spans="1:15" ht="22.5" customHeight="1" x14ac:dyDescent="0.25">
      <c r="A67" s="334" t="s">
        <v>484</v>
      </c>
      <c r="B67" s="334" t="s">
        <v>485</v>
      </c>
      <c r="C67" s="331" t="s">
        <v>243</v>
      </c>
      <c r="D67" s="378">
        <f>IF(D55="","",D55+SUM(D63:D66))</f>
        <v>38.171492593201258</v>
      </c>
      <c r="G67" s="352" t="s">
        <v>498</v>
      </c>
      <c r="H67" s="177"/>
      <c r="I67" s="358"/>
      <c r="J67" s="358"/>
      <c r="K67" s="358"/>
      <c r="L67" s="358"/>
      <c r="M67" s="358"/>
      <c r="N67" s="358"/>
      <c r="O67" s="358"/>
    </row>
    <row r="68" spans="1:15" ht="22.5" customHeight="1" x14ac:dyDescent="0.25">
      <c r="A68" s="334" t="s">
        <v>486</v>
      </c>
      <c r="B68" s="334" t="s">
        <v>487</v>
      </c>
      <c r="C68" s="331" t="s">
        <v>141</v>
      </c>
      <c r="D68" s="378">
        <v>350</v>
      </c>
      <c r="G68" s="331"/>
      <c r="H68" s="177"/>
      <c r="I68" s="358"/>
      <c r="J68" s="358"/>
      <c r="K68" s="358"/>
      <c r="L68" s="358"/>
      <c r="M68" s="358"/>
      <c r="N68" s="358"/>
      <c r="O68" s="358"/>
    </row>
    <row r="69" spans="1:15" ht="22.5" customHeight="1" x14ac:dyDescent="0.25">
      <c r="A69" s="334" t="s">
        <v>488</v>
      </c>
      <c r="B69" s="334" t="s">
        <v>489</v>
      </c>
      <c r="C69" s="331" t="s">
        <v>141</v>
      </c>
      <c r="D69" s="378">
        <f>IF(OR(D68&lt;=0,D60&lt;=0),"",D68-D60)</f>
        <v>270</v>
      </c>
      <c r="G69" s="331"/>
      <c r="H69" s="177"/>
      <c r="I69" s="358"/>
      <c r="J69" s="358"/>
      <c r="K69" s="358"/>
      <c r="L69" s="358"/>
      <c r="M69" s="358"/>
      <c r="N69" s="358"/>
      <c r="O69" s="358"/>
    </row>
    <row r="70" spans="1:15" ht="22.5" customHeight="1" x14ac:dyDescent="0.25">
      <c r="A70" s="334" t="s">
        <v>490</v>
      </c>
      <c r="B70" s="334" t="s">
        <v>491</v>
      </c>
      <c r="C70" s="331" t="s">
        <v>383</v>
      </c>
      <c r="D70" s="378">
        <v>1</v>
      </c>
      <c r="G70" s="331"/>
      <c r="H70" s="177"/>
      <c r="I70" s="358"/>
      <c r="J70" s="358"/>
      <c r="K70" s="358"/>
      <c r="L70" s="358"/>
      <c r="M70" s="358"/>
      <c r="N70" s="358"/>
      <c r="O70" s="358"/>
    </row>
    <row r="71" spans="1:15" ht="22.5" customHeight="1" x14ac:dyDescent="0.25">
      <c r="A71" s="334" t="s">
        <v>492</v>
      </c>
      <c r="B71" s="334" t="s">
        <v>493</v>
      </c>
      <c r="C71" s="331" t="s">
        <v>141</v>
      </c>
      <c r="D71" s="378">
        <f>IF(OR(D69&lt;=0,D70&lt;0),"",D69*(D70+1))</f>
        <v>540</v>
      </c>
      <c r="G71" s="331"/>
      <c r="H71" s="177"/>
      <c r="I71" s="358"/>
      <c r="J71" s="358"/>
      <c r="K71" s="358"/>
      <c r="L71" s="358"/>
      <c r="M71" s="358"/>
      <c r="N71" s="358"/>
      <c r="O71" s="358"/>
    </row>
    <row r="72" spans="1:15" ht="22.5" customHeight="1" thickBot="1" x14ac:dyDescent="0.3">
      <c r="A72" s="334" t="s">
        <v>494</v>
      </c>
      <c r="B72" s="334" t="s">
        <v>495</v>
      </c>
      <c r="C72" s="331" t="s">
        <v>383</v>
      </c>
      <c r="D72" s="378">
        <f>IF(OR(D53&lt;=0,D69&lt;=0),"",MAX(0,CEILING(D53/D69,1)-1))</f>
        <v>0</v>
      </c>
      <c r="G72" s="331"/>
      <c r="H72" s="177"/>
      <c r="I72" s="358"/>
      <c r="J72" s="358"/>
      <c r="K72" s="358"/>
      <c r="L72" s="358"/>
      <c r="M72" s="358"/>
      <c r="N72" s="358"/>
      <c r="O72" s="358"/>
    </row>
    <row r="73" spans="1:15" ht="22.5" customHeight="1" thickTop="1" x14ac:dyDescent="0.25">
      <c r="A73" s="334" t="s">
        <v>496</v>
      </c>
      <c r="B73" s="334" t="s">
        <v>407</v>
      </c>
      <c r="C73" s="331"/>
      <c r="D73" s="418" t="str">
        <f>IF(OR(D53="",D69="",D71=""),"",IF(D69&lt;=0,"ОШИБКА: нет прямого участка",IF(D53&lt;=D69,"ПОМЕЩАЕТСЯ ПРЯМО",IF(D53&lt;=D71,"НУЖНО ПОВОРОТОВ: "&amp;D72,"НЕ ПОМЕЩАЕТСЯ: увеличьте трассу"))))</f>
        <v>ПОМЕЩАЕТСЯ ПРЯМО</v>
      </c>
      <c r="G73" s="352" t="s">
        <v>499</v>
      </c>
      <c r="H73" s="177"/>
      <c r="I73" s="358"/>
      <c r="J73" s="358"/>
      <c r="K73" s="358"/>
      <c r="L73" s="358"/>
      <c r="M73" s="358"/>
      <c r="N73" s="358"/>
      <c r="O73" s="358"/>
    </row>
    <row r="74" spans="1:15" s="398" customFormat="1" ht="37.5" customHeight="1" x14ac:dyDescent="0.25">
      <c r="A74" s="12" t="s">
        <v>512</v>
      </c>
      <c r="E74" s="399"/>
      <c r="I74" s="405"/>
      <c r="J74" s="405"/>
      <c r="K74" s="405"/>
      <c r="L74" s="405"/>
      <c r="M74" s="405"/>
    </row>
    <row r="75" spans="1:15" ht="22.5" customHeight="1" x14ac:dyDescent="0.25">
      <c r="A75" s="334" t="s">
        <v>420</v>
      </c>
      <c r="B75" s="334" t="s">
        <v>421</v>
      </c>
      <c r="C75" s="330" t="s">
        <v>395</v>
      </c>
      <c r="D75" s="379"/>
      <c r="G75" s="330" t="s">
        <v>435</v>
      </c>
      <c r="I75" s="358"/>
      <c r="J75" s="358"/>
      <c r="K75" s="358"/>
      <c r="L75" s="358"/>
      <c r="M75" s="358"/>
    </row>
    <row r="76" spans="1:15" ht="22.5" customHeight="1" x14ac:dyDescent="0.25">
      <c r="A76" s="334" t="s">
        <v>422</v>
      </c>
      <c r="B76" s="334" t="s">
        <v>423</v>
      </c>
      <c r="C76" s="330" t="s">
        <v>141</v>
      </c>
      <c r="D76" s="379"/>
    </row>
    <row r="77" spans="1:15" ht="22.5" customHeight="1" x14ac:dyDescent="0.25">
      <c r="A77" s="334" t="s">
        <v>424</v>
      </c>
      <c r="B77" s="334" t="s">
        <v>425</v>
      </c>
      <c r="C77" s="330" t="s">
        <v>383</v>
      </c>
      <c r="D77" s="380">
        <v>1</v>
      </c>
    </row>
    <row r="78" spans="1:15" ht="22.5" customHeight="1" x14ac:dyDescent="0.25">
      <c r="A78" s="334" t="s">
        <v>426</v>
      </c>
      <c r="B78" s="334" t="s">
        <v>427</v>
      </c>
      <c r="C78" s="330" t="s">
        <v>27</v>
      </c>
      <c r="D78" s="381">
        <f>'Сквозной расчёт фильтров'!D2</f>
        <v>120</v>
      </c>
    </row>
    <row r="79" spans="1:15" ht="22.5" customHeight="1" x14ac:dyDescent="0.25">
      <c r="A79" s="334" t="s">
        <v>428</v>
      </c>
      <c r="B79" s="334" t="s">
        <v>429</v>
      </c>
      <c r="C79" s="330" t="s">
        <v>141</v>
      </c>
      <c r="D79" s="379"/>
      <c r="G79" s="330" t="s">
        <v>436</v>
      </c>
    </row>
    <row r="80" spans="1:15" ht="22.5" customHeight="1" x14ac:dyDescent="0.25">
      <c r="A80" s="334" t="s">
        <v>430</v>
      </c>
      <c r="B80" s="334" t="s">
        <v>431</v>
      </c>
      <c r="C80" s="330" t="s">
        <v>432</v>
      </c>
      <c r="D80" s="379">
        <v>17</v>
      </c>
    </row>
    <row r="81" spans="1:7" ht="22.5" customHeight="1" thickBot="1" x14ac:dyDescent="0.3">
      <c r="A81" s="334" t="s">
        <v>433</v>
      </c>
      <c r="B81" s="334" t="s">
        <v>434</v>
      </c>
      <c r="C81" s="330" t="s">
        <v>432</v>
      </c>
      <c r="D81" s="419">
        <v>25</v>
      </c>
    </row>
    <row r="82" spans="1:7" ht="22.5" customHeight="1" thickTop="1" x14ac:dyDescent="0.25">
      <c r="A82" s="334" t="s">
        <v>438</v>
      </c>
      <c r="B82" s="334" t="s">
        <v>439</v>
      </c>
      <c r="C82" s="330" t="s">
        <v>395</v>
      </c>
      <c r="D82" s="382" t="str">
        <f>IF(OR(D75&lt;=0,D77&lt;=0),"",D75*D77)</f>
        <v/>
      </c>
    </row>
    <row r="83" spans="1:7" ht="22.5" customHeight="1" x14ac:dyDescent="0.25">
      <c r="A83" s="334" t="s">
        <v>440</v>
      </c>
      <c r="B83" s="334" t="s">
        <v>441</v>
      </c>
      <c r="C83" s="330" t="s">
        <v>442</v>
      </c>
      <c r="D83" s="383" t="str">
        <f>IF(OR(NOT(ISNUMBER(D51)),NOT(ISNUMBER(D82)),D51&lt;=0,D82&lt;=0),"",D51/D82)</f>
        <v/>
      </c>
      <c r="G83" s="70" t="s">
        <v>448</v>
      </c>
    </row>
    <row r="84" spans="1:7" ht="22.5" customHeight="1" x14ac:dyDescent="0.25">
      <c r="A84" s="334" t="s">
        <v>443</v>
      </c>
      <c r="B84" s="334" t="s">
        <v>444</v>
      </c>
      <c r="C84" s="330" t="s">
        <v>432</v>
      </c>
      <c r="D84" s="382" t="str">
        <f>IF(OR(NOT(ISNUMBER(D45)),NOT(ISNUMBER(D51)),NOT(ISNUMBER(D82)),NOT(ISNUMBER(D79)),D45&lt;=0,D51&lt;=0,D82&lt;=0,D79&lt;=0),"",2*PI()*D45*D82*D79/(1000*D51))</f>
        <v/>
      </c>
    </row>
    <row r="85" spans="1:7" ht="22.5" customHeight="1" x14ac:dyDescent="0.25">
      <c r="A85" s="334" t="s">
        <v>445</v>
      </c>
      <c r="B85" s="334" t="s">
        <v>446</v>
      </c>
      <c r="D85" s="384" t="str">
        <f>IF(D84="","",D84/343)</f>
        <v/>
      </c>
    </row>
    <row r="86" spans="1:7" ht="22.5" customHeight="1" x14ac:dyDescent="0.25">
      <c r="A86" s="334" t="s">
        <v>447</v>
      </c>
      <c r="B86" s="334" t="s">
        <v>407</v>
      </c>
      <c r="D86" s="391" t="str">
        <f>IF(D84="","Введите Sd и Xfb",IF(D84&lt;=D80,"НОРМА",IF(D84&lt;=D81,"ПОГРАНИЧНО","РИСК ШУМА")))</f>
        <v>Введите Sd и Xfb</v>
      </c>
    </row>
    <row r="87" spans="1:7" ht="22.5" customHeight="1" x14ac:dyDescent="0.25">
      <c r="A87" s="334" t="s">
        <v>449</v>
      </c>
      <c r="B87" s="334" t="s">
        <v>450</v>
      </c>
      <c r="C87" s="330" t="s">
        <v>27</v>
      </c>
      <c r="D87" s="385" t="str">
        <f>IF(OR(NOT(ISNUMBER(D84)),NOT(ISNUMBER(D78)),NOT(ISNUMBER(D80)),D84&lt;=0,D78&lt;=0,D80&lt;=0),"",D78*(D80/D84)^2)</f>
        <v/>
      </c>
    </row>
    <row r="88" spans="1:7" ht="22.5" customHeight="1" x14ac:dyDescent="0.25">
      <c r="A88" s="334" t="s">
        <v>451</v>
      </c>
      <c r="B88" s="334" t="s">
        <v>452</v>
      </c>
      <c r="C88" s="330" t="s">
        <v>27</v>
      </c>
      <c r="D88" s="385" t="str">
        <f>IF(OR(NOT(ISNUMBER(D76)),NOT(ISNUMBER(D79)),NOT(ISNUMBER(D78)),D76&lt;=0,D79&lt;=0,D78&lt;=0),"",D78*(D76/D79)^2)</f>
        <v/>
      </c>
    </row>
    <row r="89" spans="1:7" ht="22.5" customHeight="1" x14ac:dyDescent="0.25">
      <c r="A89" s="334" t="s">
        <v>453</v>
      </c>
      <c r="B89" s="334" t="s">
        <v>454</v>
      </c>
      <c r="C89" s="330" t="s">
        <v>27</v>
      </c>
      <c r="D89" s="385" t="str">
        <f>IF(OR(NOT(ISNUMBER(D78)),NOT(ISNUMBER(D87)),NOT(ISNUMBER(D88))),"",MIN(D78,D87,D88))</f>
        <v/>
      </c>
      <c r="G89" s="70" t="s">
        <v>459</v>
      </c>
    </row>
    <row r="90" spans="1:7" ht="22.5" customHeight="1" x14ac:dyDescent="0.25">
      <c r="A90" s="334" t="s">
        <v>455</v>
      </c>
      <c r="B90" s="334" t="s">
        <v>456</v>
      </c>
      <c r="C90" s="330" t="s">
        <v>432</v>
      </c>
      <c r="D90" s="382" t="str">
        <f>IF(OR(NOT(ISNUMBER(D84)),NOT(ISNUMBER(D76)),NOT(ISNUMBER(D79)),D84&lt;=0,D76&lt;=0,D79&lt;=0),"",D84*D76/D79)</f>
        <v/>
      </c>
    </row>
    <row r="91" spans="1:7" ht="22.5" customHeight="1" x14ac:dyDescent="0.25">
      <c r="A91" s="334" t="s">
        <v>457</v>
      </c>
      <c r="B91" s="334" t="s">
        <v>458</v>
      </c>
      <c r="D91" s="391" t="str">
        <f>IF(NOT(ISNUMBER(D89)),"Введите параметры динамика",IF(D89=D78,"УСИЛИТЕЛЬ",IF(D89=D87,"ПОРТ","Xmax")))</f>
        <v>Введите параметры динамика</v>
      </c>
      <c r="G91" s="70" t="s">
        <v>460</v>
      </c>
    </row>
    <row r="92" spans="1:7" s="398" customFormat="1" ht="37.5" customHeight="1" x14ac:dyDescent="0.25">
      <c r="A92" s="12" t="s">
        <v>500</v>
      </c>
      <c r="E92" s="399"/>
    </row>
    <row r="93" spans="1:7" ht="22.5" customHeight="1" x14ac:dyDescent="0.25">
      <c r="A93" s="334" t="s">
        <v>501</v>
      </c>
      <c r="B93" s="332"/>
      <c r="C93" s="332"/>
      <c r="D93" s="406" t="str">
        <f>D10</f>
        <v>ИДЕАЛЬНО: Fc = 328,9 Гц</v>
      </c>
    </row>
    <row r="94" spans="1:7" ht="22.5" customHeight="1" x14ac:dyDescent="0.25">
      <c r="A94" s="334" t="s">
        <v>502</v>
      </c>
      <c r="B94" s="332"/>
      <c r="C94" s="332"/>
      <c r="D94" s="332" t="str">
        <f>IF(D19="","",D19&amp;"; остаток "&amp;ROUND(D24,0)&amp;"°; ΔZ "&amp;ROUND(D25,1)&amp;" мм")</f>
        <v>+ к +; остаток 37°; ΔZ -35 мм</v>
      </c>
    </row>
    <row r="95" spans="1:7" ht="22.5" customHeight="1" x14ac:dyDescent="0.25">
      <c r="A95" s="334" t="s">
        <v>503</v>
      </c>
      <c r="B95" s="332"/>
      <c r="C95" s="332"/>
      <c r="D95" s="332" t="str">
        <f>IF(E19="","",E19&amp;"; остаток "&amp;ROUND(E24,0)&amp;"°; ΔZ "&amp;ROUND(E25,1)&amp;" мм")</f>
        <v>+ к +; остаток -77°; ΔZ 8,1 мм</v>
      </c>
    </row>
    <row r="96" spans="1:7" ht="22.5" customHeight="1" x14ac:dyDescent="0.25">
      <c r="A96" s="334" t="s">
        <v>504</v>
      </c>
      <c r="B96" s="332"/>
      <c r="C96" s="332"/>
      <c r="D96" s="332" t="str">
        <f>D40</f>
        <v>Хорошо: провал вне зоны</v>
      </c>
    </row>
    <row r="97" spans="1:4" ht="22.5" customHeight="1" x14ac:dyDescent="0.25">
      <c r="A97" s="334" t="s">
        <v>505</v>
      </c>
      <c r="B97" s="332"/>
      <c r="C97" s="332"/>
      <c r="D97" s="332" t="str">
        <f>E40</f>
        <v>ПОГРАНИЧНО: малый запас</v>
      </c>
    </row>
    <row r="98" spans="1:4" ht="22.5" customHeight="1" x14ac:dyDescent="0.25">
      <c r="A98" s="334" t="s">
        <v>506</v>
      </c>
      <c r="B98" s="332"/>
      <c r="C98" s="332"/>
      <c r="D98" s="407" t="str">
        <f>D62</f>
        <v>ОШИБКА: мода в полосе НЧ</v>
      </c>
    </row>
    <row r="99" spans="1:4" ht="22.5" customHeight="1" x14ac:dyDescent="0.25">
      <c r="A99" s="334" t="s">
        <v>507</v>
      </c>
      <c r="B99" s="332"/>
      <c r="C99" s="332"/>
      <c r="D99" s="407" t="str">
        <f>D73</f>
        <v>ПОМЕЩАЕТСЯ ПРЯМО</v>
      </c>
    </row>
    <row r="100" spans="1:4" ht="22.5" customHeight="1" x14ac:dyDescent="0.25">
      <c r="A100" s="334" t="s">
        <v>508</v>
      </c>
      <c r="B100" s="332"/>
      <c r="C100" s="332"/>
      <c r="D100" s="332" t="str">
        <f>D86</f>
        <v>Введите Sd и Xfb</v>
      </c>
    </row>
    <row r="101" spans="1:4" ht="22.5" customHeight="1" x14ac:dyDescent="0.25">
      <c r="A101" s="334" t="s">
        <v>509</v>
      </c>
      <c r="B101" s="332"/>
      <c r="C101" s="332"/>
      <c r="D101" s="332" t="str">
        <f>IF(ISNUMBER(D89),ROUND(D89,0)&amp;" Вт; ограничение: "&amp;D91,"Введите Sd, Xmax и Xfb")</f>
        <v>Введите Sd, Xmax и Xfb</v>
      </c>
    </row>
    <row r="102" spans="1:4" ht="22.5" customHeight="1" x14ac:dyDescent="0.25">
      <c r="A102" s="334" t="s">
        <v>510</v>
      </c>
      <c r="B102" s="332"/>
      <c r="C102" s="332"/>
      <c r="D102" s="332" t="str">
        <f>IF(D67="","",ROUND(D67,1)&amp;" л")</f>
        <v>38,2 л</v>
      </c>
    </row>
    <row r="103" spans="1:4" ht="22.5" customHeight="1" x14ac:dyDescent="0.25">
      <c r="A103" s="334" t="s">
        <v>511</v>
      </c>
      <c r="B103" s="332"/>
      <c r="C103" s="332"/>
      <c r="D103" s="332" t="str">
        <f>IF(SUM(COUNTIF(D93:D102,"*ОШИБ*"),COUNTIF(D93:D102,"*РИСК*"),COUNTIF(D93:D102,"*НЕ ПОМЕЩАЕТСЯ*"))&gt;0,"ТРЕБУЕТ ИСПРАВЛЕНИЯ",IF(SUM(COUNTIF(D93:D102,"*ВНИМАН*"),COUNTIF(D93:D102,"*ПОГРАНИЧНО*"),COUNTIF(D93:D102,"*Введите*"))&gt;0,"ЕСТЬ ПРЕДУПРЕЖДЕНИЯ / НЕ ХВАТАЕТ ДАННЫХ","РАСЧЁТНЫЕ ПРОВЕРКИ ПРОЙДЕНЫ"))</f>
        <v>ТРЕБУЕТ ИСПРАВЛЕНИЯ</v>
      </c>
    </row>
  </sheetData>
  <mergeCells count="2">
    <mergeCell ref="A1:C1"/>
    <mergeCell ref="A6:C6"/>
  </mergeCells>
  <conditionalFormatting sqref="D13:E14 D16:E16">
    <cfRule type="expression" dxfId="7" priority="1">
      <formula>D$12="ПУСТО"</formula>
    </cfRule>
  </conditionalFormatting>
  <dataValidations disablePrompts="1" count="4">
    <dataValidation type="list" allowBlank="1" showInputMessage="1" showErrorMessage="1" sqref="D12:E12" xr:uid="{39C5555C-77C5-41E8-80E5-F08E78628957}">
      <formula1>$H$12:$H$15</formula1>
    </dataValidation>
    <dataValidation type="list" allowBlank="1" showInputMessage="1" showErrorMessage="1" sqref="D42" xr:uid="{C28FECFD-F54A-4174-B8C0-ABD7AAEABE9D}">
      <formula1>$N$42:$N$43</formula1>
    </dataValidation>
    <dataValidation type="list" allowBlank="1" showInputMessage="1" showErrorMessage="1" sqref="D46" xr:uid="{F9466219-E6ED-49BC-A4E5-BC29A6349F49}">
      <formula1>$N$46:$N$48</formula1>
    </dataValidation>
    <dataValidation type="whole" allowBlank="1" showInputMessage="1" showErrorMessage="1" sqref="D43" xr:uid="{8149B01D-449B-48AA-A915-D997C8F6CCB6}">
      <formula1>1</formula1>
      <formula2>8</formula2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6ACAA-8E1C-4F65-9515-E7A429800EA5}">
  <sheetPr codeName="Лист6">
    <tabColor theme="0" tint="-0.249977111117893"/>
  </sheetPr>
  <dimension ref="A1:Q17"/>
  <sheetViews>
    <sheetView workbookViewId="0">
      <selection activeCell="R51" sqref="R51"/>
    </sheetView>
  </sheetViews>
  <sheetFormatPr defaultRowHeight="14.25" x14ac:dyDescent="0.2"/>
  <cols>
    <col min="1" max="2" width="8.5703125" style="36" customWidth="1"/>
    <col min="3" max="3" width="2.85546875" style="36" customWidth="1"/>
    <col min="4" max="4" width="10.5703125" style="36" bestFit="1" customWidth="1"/>
    <col min="5" max="8" width="8.5703125" style="36" customWidth="1"/>
    <col min="9" max="9" width="2.85546875" style="36" customWidth="1"/>
    <col min="10" max="11" width="8.5703125" style="36" customWidth="1"/>
    <col min="12" max="12" width="2.85546875" style="36" customWidth="1"/>
    <col min="13" max="13" width="10.5703125" style="36" bestFit="1" customWidth="1"/>
    <col min="14" max="17" width="8.5703125" style="36" customWidth="1"/>
    <col min="18" max="16384" width="9.140625" style="36"/>
  </cols>
  <sheetData>
    <row r="1" spans="1:17" ht="22.5" customHeight="1" thickBot="1" x14ac:dyDescent="0.25">
      <c r="A1" s="171" t="s">
        <v>19</v>
      </c>
      <c r="B1" s="33">
        <f>'Сквозной расчёт фильтров'!D36</f>
        <v>3300</v>
      </c>
      <c r="C1" s="34"/>
      <c r="D1" s="35" t="s">
        <v>17</v>
      </c>
      <c r="E1" s="169" t="s">
        <v>93</v>
      </c>
      <c r="F1" s="169" t="s">
        <v>94</v>
      </c>
      <c r="G1" s="169" t="s">
        <v>95</v>
      </c>
      <c r="H1" s="169" t="s">
        <v>96</v>
      </c>
      <c r="J1" s="171" t="s">
        <v>19</v>
      </c>
      <c r="K1" s="172">
        <f>'Сквозной расчёт фильтров'!M36</f>
        <v>5500</v>
      </c>
      <c r="L1" s="34"/>
      <c r="M1" s="35" t="s">
        <v>117</v>
      </c>
      <c r="N1" s="169" t="s">
        <v>93</v>
      </c>
      <c r="O1" s="169" t="s">
        <v>94</v>
      </c>
      <c r="P1" s="169" t="s">
        <v>95</v>
      </c>
      <c r="Q1" s="169" t="s">
        <v>96</v>
      </c>
    </row>
    <row r="2" spans="1:17" ht="22.5" customHeight="1" x14ac:dyDescent="0.2">
      <c r="A2" s="171" t="s">
        <v>18</v>
      </c>
      <c r="B2" s="44">
        <f>'Сквозной расчёт фильтров'!D37</f>
        <v>7.9</v>
      </c>
      <c r="C2" s="34"/>
      <c r="D2" s="170" t="s">
        <v>292</v>
      </c>
      <c r="E2" s="157">
        <f>(B2/(2*PI()*B1))*10^3</f>
        <v>0.38100728800787065</v>
      </c>
      <c r="F2" s="50"/>
      <c r="G2" s="50"/>
      <c r="H2" s="166"/>
      <c r="J2" s="171" t="s">
        <v>18</v>
      </c>
      <c r="K2" s="44">
        <f>'Сквозной расчёт фильтров'!M37</f>
        <v>8</v>
      </c>
      <c r="L2" s="34"/>
      <c r="M2" s="170" t="s">
        <v>292</v>
      </c>
      <c r="N2" s="157">
        <f>(K2/(2*PI()*K1))*10^3</f>
        <v>0.23149809904275689</v>
      </c>
      <c r="O2" s="50"/>
      <c r="P2" s="50"/>
      <c r="Q2" s="166"/>
    </row>
    <row r="3" spans="1:17" ht="22.5" customHeight="1" x14ac:dyDescent="0.2">
      <c r="A3" s="45"/>
      <c r="B3" s="45"/>
      <c r="C3" s="34"/>
      <c r="D3" s="170" t="s">
        <v>293</v>
      </c>
      <c r="E3" s="157">
        <f>(B2/(2*PI()*B1*0.707))*10^3</f>
        <v>0.53890705517379167</v>
      </c>
      <c r="F3" s="160">
        <f>(0.707/(2*PI()*B2*B1))*10^6</f>
        <v>4.3161697263509771</v>
      </c>
      <c r="G3" s="50"/>
      <c r="H3" s="166"/>
      <c r="J3" s="67"/>
      <c r="K3" s="68"/>
      <c r="L3" s="34"/>
      <c r="M3" s="170" t="s">
        <v>293</v>
      </c>
      <c r="N3" s="157">
        <f>(K2/(2*PI()*K1*0.707))*10^3</f>
        <v>0.32743719808027849</v>
      </c>
      <c r="O3" s="160">
        <f>(0.707/(2*PI()*K2*K1))*10^6</f>
        <v>2.5573305628629548</v>
      </c>
      <c r="P3" s="50"/>
      <c r="Q3" s="166"/>
    </row>
    <row r="4" spans="1:17" ht="22.5" customHeight="1" x14ac:dyDescent="0.2">
      <c r="A4" s="46"/>
      <c r="B4" s="47"/>
      <c r="C4" s="34"/>
      <c r="D4" s="170" t="s">
        <v>294</v>
      </c>
      <c r="E4" s="157">
        <f>((1.5*B2)/(2*PI()*B1))*10^3</f>
        <v>0.57151093201180603</v>
      </c>
      <c r="F4" s="160">
        <f>((4/3)/(2*PI()*B1*B2))*10^6</f>
        <v>8.1398769002375815</v>
      </c>
      <c r="G4" s="157">
        <f>((0.5*B2)/(2*PI()*B1))*10^3</f>
        <v>0.19050364400393532</v>
      </c>
      <c r="H4" s="166"/>
      <c r="J4" s="67"/>
      <c r="K4" s="69"/>
      <c r="L4" s="34"/>
      <c r="M4" s="170" t="s">
        <v>294</v>
      </c>
      <c r="N4" s="157">
        <f>((1.5*K2)/(2*PI()*K1))*10^3</f>
        <v>0.34724714856413536</v>
      </c>
      <c r="O4" s="160">
        <f>((4/3)/(2*PI()*K1*K2))*10^6</f>
        <v>4.8228770633907683</v>
      </c>
      <c r="P4" s="157">
        <f>((0.5*K2)/(2*PI()*K1))*10^3</f>
        <v>0.11574904952137845</v>
      </c>
      <c r="Q4" s="166"/>
    </row>
    <row r="5" spans="1:17" ht="22.5" customHeight="1" x14ac:dyDescent="0.2">
      <c r="A5" s="34"/>
      <c r="B5" s="34"/>
      <c r="C5" s="34"/>
      <c r="D5" s="170" t="s">
        <v>295</v>
      </c>
      <c r="E5" s="157">
        <f>(((SQRT(1.5*SQRT(5)-1.5))*B2)/(2*PI()*B1))*10^3</f>
        <v>0.51880014678685293</v>
      </c>
      <c r="F5" s="160">
        <f>((SQRT(1.5*SQRT(5)-1.5)/3)/(2*PI()*B1*B2))*10^6</f>
        <v>2.7709242471123905</v>
      </c>
      <c r="G5" s="50"/>
      <c r="H5" s="166"/>
      <c r="J5" s="34"/>
      <c r="K5" s="34"/>
      <c r="L5" s="34"/>
      <c r="M5" s="170" t="s">
        <v>295</v>
      </c>
      <c r="N5" s="157">
        <f>(((SQRT(1.5*SQRT(5)-1.5))*K2)/(2*PI()*K1))*10^3</f>
        <v>0.31522034235150559</v>
      </c>
      <c r="O5" s="160">
        <f>((SQRT(1.5*SQRT(5)-1.5)/3)/(2*PI()*K1*K2))*10^6</f>
        <v>1.6417726164140918</v>
      </c>
      <c r="P5" s="50"/>
      <c r="Q5" s="166"/>
    </row>
    <row r="6" spans="1:17" ht="22.5" customHeight="1" x14ac:dyDescent="0.2">
      <c r="A6" s="34"/>
      <c r="B6" s="34"/>
      <c r="C6" s="34"/>
      <c r="D6" s="170" t="s">
        <v>296</v>
      </c>
      <c r="E6" s="158">
        <f>(((5/6 * SQRT( (149.5 + SQRT(23681.25))^(1/3) - (SQRT(23681.25) - 149.5)^(1/3) - 2 ))*B2)/(2*PI()*B1))*10^3</f>
        <v>0.55743663985131886</v>
      </c>
      <c r="F6" s="161">
        <f>((12/25 * SQRT( (149.5 + SQRT(23681.25))^(1/3) - (SQRT(23681.25) - 149.5)^(1/3) - 2 ))/(2*PI()*B1*B2))*10^6</f>
        <v>5.1447445049568907</v>
      </c>
      <c r="G6" s="158">
        <f>((1/6 * SQRT( (149.5 + SQRT(23681.25))^(1/3) - (SQRT(23681.25) - 149.5)^(1/3) - 2 )*B2)/(2*PI()*B1))*10^3</f>
        <v>0.11148732797026377</v>
      </c>
      <c r="H6" s="166"/>
      <c r="J6" s="34"/>
      <c r="K6" s="34"/>
      <c r="L6" s="34"/>
      <c r="M6" s="170" t="s">
        <v>296</v>
      </c>
      <c r="N6" s="158">
        <f>(((5/6 * SQRT( (149.5 + SQRT(23681.25))^(1/3) - (SQRT(23681.25) - 149.5)^(1/3) - 2 ))*K2)/(2*PI()*K1))*10^3</f>
        <v>0.3386956799096621</v>
      </c>
      <c r="O6" s="161">
        <f>((12/25 * SQRT( (149.5 + SQRT(23681.25))^(1/3) - (SQRT(23681.25) - 149.5)^(1/3) - 2 ))/(2*PI()*K1*K2))*10^6</f>
        <v>3.0482611191869591</v>
      </c>
      <c r="P6" s="158">
        <f>((1/6 * SQRT( (149.5 + SQRT(23681.25))^(1/3) - (SQRT(23681.25) - 149.5)^(1/3) - 2 )*K2)/(2*PI()*K1))*10^3</f>
        <v>6.7739135981932416E-2</v>
      </c>
      <c r="Q6" s="166"/>
    </row>
    <row r="7" spans="1:17" ht="22.5" customHeight="1" x14ac:dyDescent="0.2">
      <c r="A7" s="34"/>
      <c r="B7" s="34"/>
      <c r="C7" s="34"/>
      <c r="D7" s="170" t="s">
        <v>297</v>
      </c>
      <c r="E7" s="157">
        <f>(B2/(PI()*B1))*10^3</f>
        <v>0.7620145760157413</v>
      </c>
      <c r="F7" s="160">
        <f>(1/(4*PI()*B2*B1))*10^6</f>
        <v>3.0524538375890935</v>
      </c>
      <c r="G7" s="50"/>
      <c r="H7" s="166"/>
      <c r="J7" s="34"/>
      <c r="K7" s="34"/>
      <c r="L7" s="34"/>
      <c r="M7" s="170" t="s">
        <v>297</v>
      </c>
      <c r="N7" s="157">
        <f>(K2/(PI()*K1))*10^3</f>
        <v>0.46299619808551379</v>
      </c>
      <c r="O7" s="160">
        <f>(1/(4*PI()*K2*K1))*10^6</f>
        <v>1.8085788987715381</v>
      </c>
      <c r="P7" s="50"/>
      <c r="Q7" s="166"/>
    </row>
    <row r="8" spans="1:17" ht="22.5" customHeight="1" x14ac:dyDescent="0.2">
      <c r="A8" s="34"/>
      <c r="B8" s="34"/>
      <c r="C8" s="34"/>
      <c r="D8" s="170" t="s">
        <v>298</v>
      </c>
      <c r="E8" s="159">
        <f>(((4*SQRT(2)/3)*B2)/(2*PI()*B1))*10^3</f>
        <v>0.71843423208496349</v>
      </c>
      <c r="F8" s="162">
        <f>((9*SQRT(2)/8)/(2*PI()*B2*B1))*10^6</f>
        <v>9.7128486351816683</v>
      </c>
      <c r="G8" s="159">
        <f>(((2*SQRT(2)/3)*B2)/(2*PI()*B1))*10^3</f>
        <v>0.35921711604248174</v>
      </c>
      <c r="H8" s="167">
        <f>((SQRT(2)/4)/(2*PI()*B2*B1))*10^6</f>
        <v>2.1584108078181488</v>
      </c>
      <c r="J8" s="34"/>
      <c r="K8" s="34"/>
      <c r="L8" s="34"/>
      <c r="M8" s="170" t="s">
        <v>298</v>
      </c>
      <c r="N8" s="159">
        <f>(((4*SQRT(2)/3)*K2)/(2*PI()*K1))*10^3</f>
        <v>0.43651700177314245</v>
      </c>
      <c r="O8" s="162">
        <f>((9*SQRT(2)/8)/(2*PI()*K2*K1))*10^6</f>
        <v>5.7548628163451401</v>
      </c>
      <c r="P8" s="159">
        <f>(((2*SQRT(2)/3)*K2)/(2*PI()*K1))*10^3</f>
        <v>0.21825850088657123</v>
      </c>
      <c r="Q8" s="167">
        <f>((SQRT(2)/4)/(2*PI()*K2*K1))*10^6</f>
        <v>1.2788584036322532</v>
      </c>
    </row>
    <row r="9" spans="1:17" ht="15" customHeight="1" x14ac:dyDescent="0.2">
      <c r="J9" s="37"/>
      <c r="K9" s="38"/>
      <c r="L9" s="39"/>
      <c r="M9" s="40"/>
      <c r="N9" s="41"/>
      <c r="O9" s="42"/>
      <c r="P9" s="43"/>
      <c r="Q9" s="41"/>
    </row>
    <row r="10" spans="1:17" ht="30" customHeight="1" thickBot="1" x14ac:dyDescent="0.25">
      <c r="A10" s="171" t="s">
        <v>19</v>
      </c>
      <c r="B10" s="48">
        <f>'Сквозной расчёт фильтров'!G36</f>
        <v>6700</v>
      </c>
      <c r="C10" s="34"/>
      <c r="D10" s="35" t="s">
        <v>16</v>
      </c>
      <c r="E10" s="169" t="s">
        <v>97</v>
      </c>
      <c r="F10" s="169" t="s">
        <v>98</v>
      </c>
      <c r="G10" s="169" t="s">
        <v>99</v>
      </c>
      <c r="H10" s="169" t="s">
        <v>100</v>
      </c>
      <c r="J10" s="171" t="s">
        <v>19</v>
      </c>
      <c r="K10" s="33">
        <f>'Сквозной расчёт фильтров'!J36</f>
        <v>1000</v>
      </c>
      <c r="L10" s="34"/>
      <c r="M10" s="35" t="s">
        <v>116</v>
      </c>
      <c r="N10" s="169" t="s">
        <v>97</v>
      </c>
      <c r="O10" s="169" t="s">
        <v>98</v>
      </c>
      <c r="P10" s="169" t="s">
        <v>99</v>
      </c>
      <c r="Q10" s="169" t="s">
        <v>100</v>
      </c>
    </row>
    <row r="11" spans="1:17" ht="22.5" customHeight="1" x14ac:dyDescent="0.2">
      <c r="A11" s="171" t="s">
        <v>18</v>
      </c>
      <c r="B11" s="49">
        <f>'Сквозной расчёт фильтров'!G37</f>
        <v>8</v>
      </c>
      <c r="C11" s="34"/>
      <c r="D11" s="170" t="s">
        <v>292</v>
      </c>
      <c r="E11" s="160">
        <f>1 / (2 * PI() * B10 * B11) * 10^6</f>
        <v>2.9693086397741668</v>
      </c>
      <c r="F11" s="50"/>
      <c r="G11" s="50"/>
      <c r="H11" s="166"/>
      <c r="J11" s="171" t="s">
        <v>18</v>
      </c>
      <c r="K11" s="44">
        <f>'Сквозной расчёт фильтров'!J37</f>
        <v>6.7</v>
      </c>
      <c r="L11" s="34"/>
      <c r="M11" s="170" t="s">
        <v>292</v>
      </c>
      <c r="N11" s="160">
        <f>1 / (2 * PI() * K10 * K11) * 10^6</f>
        <v>23.754469118193338</v>
      </c>
      <c r="O11" s="50"/>
      <c r="P11" s="50"/>
      <c r="Q11" s="166"/>
    </row>
    <row r="12" spans="1:17" ht="22.5" customHeight="1" x14ac:dyDescent="0.2">
      <c r="A12" s="45"/>
      <c r="B12" s="45"/>
      <c r="C12" s="34"/>
      <c r="D12" s="170" t="s">
        <v>293</v>
      </c>
      <c r="E12" s="160">
        <f>(0.707/(2*PI()*B11*B10))*10^6</f>
        <v>2.0993012083203357</v>
      </c>
      <c r="F12" s="163">
        <f>(B11/(2*PI()*B10*0.707))*10^3</f>
        <v>0.26879172976739274</v>
      </c>
      <c r="G12" s="50"/>
      <c r="H12" s="166"/>
      <c r="J12" s="67"/>
      <c r="K12" s="68"/>
      <c r="L12" s="34"/>
      <c r="M12" s="170" t="s">
        <v>293</v>
      </c>
      <c r="N12" s="160">
        <f>(0.707/(2*PI()*K11*K10))*10^6</f>
        <v>16.794409666562686</v>
      </c>
      <c r="O12" s="163">
        <f>(K11/(2*PI()*K10*0.707))*10^3</f>
        <v>1.5082575936572826</v>
      </c>
      <c r="P12" s="50"/>
      <c r="Q12" s="166"/>
    </row>
    <row r="13" spans="1:17" ht="22.5" customHeight="1" x14ac:dyDescent="0.2">
      <c r="A13" s="46"/>
      <c r="B13" s="47"/>
      <c r="C13" s="34"/>
      <c r="D13" s="170" t="s">
        <v>294</v>
      </c>
      <c r="E13" s="160">
        <f>(1/(1.5*2*PI()*B11*B10))*10^6</f>
        <v>1.9795390931827779</v>
      </c>
      <c r="F13" s="164">
        <f>(B11/((4/3)*2*PI()*B10))*10^3</f>
        <v>0.14252681470916001</v>
      </c>
      <c r="G13" s="165">
        <f>(1/(0.5*2*PI()*B11*B10))*10^6</f>
        <v>5.9386172795483336</v>
      </c>
      <c r="H13" s="166"/>
      <c r="J13" s="67"/>
      <c r="K13" s="69"/>
      <c r="L13" s="34"/>
      <c r="M13" s="170" t="s">
        <v>294</v>
      </c>
      <c r="N13" s="160">
        <f>(1/(1.5*2*PI()*K11*K10))*10^6</f>
        <v>15.836312745462223</v>
      </c>
      <c r="O13" s="164">
        <f>(K11/((4/3)*2*PI()*K10))*10^3</f>
        <v>0.79975358903677407</v>
      </c>
      <c r="P13" s="165">
        <f>(1/(0.5*2*PI()*K11*K10))*10^6</f>
        <v>47.508938236386669</v>
      </c>
      <c r="Q13" s="166"/>
    </row>
    <row r="14" spans="1:17" ht="22.5" customHeight="1" x14ac:dyDescent="0.2">
      <c r="A14" s="51"/>
      <c r="B14" s="34"/>
      <c r="C14" s="34"/>
      <c r="D14" s="170" t="s">
        <v>295</v>
      </c>
      <c r="E14" s="160">
        <f>((SQRT(1.5*SQRT(5)-1.5)/3)/(2*PI()*B10*B11))*10^6</f>
        <v>1.3477237895936574</v>
      </c>
      <c r="F14" s="157">
        <f>(((SQRT(1.5*SQRT(5)-1.5))*B11)/(2*PI()*B10))*10^3</f>
        <v>0.25876296760198214</v>
      </c>
      <c r="G14" s="50"/>
      <c r="H14" s="166"/>
      <c r="J14" s="34"/>
      <c r="K14" s="34"/>
      <c r="L14" s="34"/>
      <c r="M14" s="170" t="s">
        <v>295</v>
      </c>
      <c r="N14" s="160">
        <f>((SQRT(1.5*SQRT(5)-1.5)/3)/(2*PI()*K10*K11))*10^6</f>
        <v>10.781790316749261</v>
      </c>
      <c r="O14" s="157">
        <f>(((SQRT(1.5*SQRT(5)-1.5))*K11)/(2*PI()*K10))*10^3</f>
        <v>1.4519837019566226</v>
      </c>
      <c r="P14" s="50"/>
      <c r="Q14" s="166"/>
    </row>
    <row r="15" spans="1:17" ht="22.5" customHeight="1" x14ac:dyDescent="0.2">
      <c r="A15" s="51"/>
      <c r="B15" s="34"/>
      <c r="C15" s="34"/>
      <c r="D15" s="170" t="s">
        <v>296</v>
      </c>
      <c r="E15" s="161">
        <f>(1/((5/6 * SQRT( (149.5 + SQRT(23681.25))^(1/3) - (SQRT(23681.25) - 149.5)^(1/3) - 2 ))*2*PI()*B10*B11))*10^6</f>
        <v>2.0295189645238354</v>
      </c>
      <c r="F15" s="158">
        <f>(B11/((12/25 * SQRT( (149.5 + SQRT(23681.25))^(1/3) - (SQRT(23681.25) - 149.5)^(1/3) - 2 ))*2*PI()*B10))*10^3</f>
        <v>0.22550210716931504</v>
      </c>
      <c r="G15" s="161">
        <f>(1/(1/6 * SQRT( (149.5 + SQRT(23681.25))^(1/3) - (SQRT(23681.25) - 149.5)^(1/3) - 2 )*2*PI()*B10*B11))*10^6</f>
        <v>10.147594822619176</v>
      </c>
      <c r="H15" s="166"/>
      <c r="J15" s="34"/>
      <c r="K15" s="34"/>
      <c r="L15" s="34"/>
      <c r="M15" s="170" t="s">
        <v>296</v>
      </c>
      <c r="N15" s="161">
        <f>(1/((5/6 * SQRT( (149.5 + SQRT(23681.25))^(1/3) - (SQRT(23681.25) - 149.5)^(1/3) - 2 ))*2*PI()*K10*K11))*10^6</f>
        <v>16.236151716190683</v>
      </c>
      <c r="O15" s="158">
        <f>(K11/((12/25 * SQRT( (149.5 + SQRT(23681.25))^(1/3) - (SQRT(23681.25) - 149.5)^(1/3) - 2 ))*2*PI()*K10))*10^3</f>
        <v>1.265348698853819</v>
      </c>
      <c r="P15" s="161">
        <f>(1/(1/6 * SQRT( (149.5 + SQRT(23681.25))^(1/3) - (SQRT(23681.25) - 149.5)^(1/3) - 2 )*2*PI()*K10*K11))*10^6</f>
        <v>81.180758580953409</v>
      </c>
      <c r="Q15" s="166"/>
    </row>
    <row r="16" spans="1:17" ht="22.5" customHeight="1" x14ac:dyDescent="0.2">
      <c r="A16" s="51"/>
      <c r="B16" s="34"/>
      <c r="C16" s="34"/>
      <c r="D16" s="170" t="s">
        <v>297</v>
      </c>
      <c r="E16" s="160">
        <f>(1/(4*PI()*B11*B10))*10^6</f>
        <v>1.4846543198870834</v>
      </c>
      <c r="F16" s="157">
        <f>(B11/(PI()*B10))*10^3</f>
        <v>0.38007150589109334</v>
      </c>
      <c r="G16" s="50"/>
      <c r="H16" s="166"/>
      <c r="J16" s="34"/>
      <c r="K16" s="34"/>
      <c r="L16" s="34"/>
      <c r="M16" s="170" t="s">
        <v>297</v>
      </c>
      <c r="N16" s="160">
        <f>(1/(4*PI()*K11*K10))*10^6</f>
        <v>11.877234559096667</v>
      </c>
      <c r="O16" s="157">
        <f>(K11/(PI()*K10))*10^3</f>
        <v>2.1326762374313981</v>
      </c>
      <c r="P16" s="50"/>
      <c r="Q16" s="166"/>
    </row>
    <row r="17" spans="1:17" ht="22.5" customHeight="1" x14ac:dyDescent="0.2">
      <c r="A17" s="51"/>
      <c r="B17" s="34"/>
      <c r="C17" s="34"/>
      <c r="D17" s="170" t="s">
        <v>298</v>
      </c>
      <c r="E17" s="162">
        <f>((3/(4*SQRT(2)))/(2*PI()*B11*B10))*10^6</f>
        <v>1.5747137059650873</v>
      </c>
      <c r="F17" s="159">
        <f>((8/(9*SQRT(2)))*B11/(2*PI()*B10))*10^3</f>
        <v>0.1194449507339444</v>
      </c>
      <c r="G17" s="162">
        <f>((3/(2*SQRT(2)))/(2*PI()*B11*B10))*10^6</f>
        <v>3.1494274119301746</v>
      </c>
      <c r="H17" s="168">
        <f>((2*SQRT(2))*B11/(2*PI()*B10))*10^3</f>
        <v>0.53750227830274988</v>
      </c>
      <c r="J17" s="34"/>
      <c r="K17" s="34"/>
      <c r="L17" s="34"/>
      <c r="M17" s="170" t="s">
        <v>298</v>
      </c>
      <c r="N17" s="162">
        <f>((3/(4*SQRT(2)))/(2*PI()*K11*K10))*10^6</f>
        <v>12.597709647720698</v>
      </c>
      <c r="O17" s="159">
        <f>((8/(9*SQRT(2)))*K11/(2*PI()*K10))*10^3</f>
        <v>0.67023547980584564</v>
      </c>
      <c r="P17" s="162">
        <f>((3/(2*SQRT(2)))/(2*PI()*K11*K10))*10^6</f>
        <v>25.195419295441397</v>
      </c>
      <c r="Q17" s="168">
        <f>((2*SQRT(2))*K11/(2*PI()*K10))*10^3</f>
        <v>3.0160596591263058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0" tint="-0.249977111117893"/>
  </sheetPr>
  <dimension ref="A1:N13"/>
  <sheetViews>
    <sheetView zoomScaleNormal="100" workbookViewId="0">
      <selection activeCell="K44" sqref="K44"/>
    </sheetView>
  </sheetViews>
  <sheetFormatPr defaultColWidth="9.140625" defaultRowHeight="14.25" x14ac:dyDescent="0.25"/>
  <cols>
    <col min="1" max="1" width="14.5703125" style="34" customWidth="1"/>
    <col min="2" max="2" width="17.140625" style="34" bestFit="1" customWidth="1"/>
    <col min="3" max="4" width="11.42578125" style="34" customWidth="1"/>
    <col min="5" max="5" width="11.28515625" style="34" customWidth="1"/>
    <col min="6" max="6" width="10" style="34" customWidth="1"/>
    <col min="7" max="7" width="12.5703125" style="34" customWidth="1"/>
    <col min="8" max="8" width="13.140625" style="34" customWidth="1"/>
    <col min="9" max="9" width="12.5703125" style="34" customWidth="1"/>
    <col min="10" max="10" width="9.28515625" style="34" customWidth="1"/>
    <col min="11" max="11" width="7.85546875" style="34" customWidth="1"/>
    <col min="12" max="12" width="9.85546875" style="34" customWidth="1"/>
    <col min="13" max="13" width="11.140625" style="34" bestFit="1" customWidth="1"/>
    <col min="14" max="14" width="9.140625" style="34" customWidth="1"/>
    <col min="15" max="16384" width="9.140625" style="34"/>
  </cols>
  <sheetData>
    <row r="1" spans="1:14" ht="49.5" customHeight="1" thickBot="1" x14ac:dyDescent="0.3">
      <c r="A1" s="155" t="s">
        <v>92</v>
      </c>
      <c r="B1" s="131" t="s">
        <v>158</v>
      </c>
      <c r="C1" s="131" t="s">
        <v>9</v>
      </c>
      <c r="D1" s="155" t="s">
        <v>10</v>
      </c>
      <c r="E1" s="131" t="s">
        <v>171</v>
      </c>
      <c r="F1" s="131" t="s">
        <v>160</v>
      </c>
      <c r="G1" s="155" t="s">
        <v>11</v>
      </c>
      <c r="H1" s="131" t="s">
        <v>557</v>
      </c>
      <c r="I1" s="155" t="s">
        <v>12</v>
      </c>
      <c r="J1" s="131" t="s">
        <v>13</v>
      </c>
      <c r="K1" s="131" t="s">
        <v>543</v>
      </c>
      <c r="L1" s="156" t="s">
        <v>544</v>
      </c>
      <c r="M1" s="131" t="s">
        <v>14</v>
      </c>
      <c r="N1" s="155" t="s">
        <v>15</v>
      </c>
    </row>
    <row r="2" spans="1:14" ht="18.75" customHeight="1" x14ac:dyDescent="0.25">
      <c r="A2" s="142" t="s">
        <v>64</v>
      </c>
      <c r="B2" s="74">
        <f>'Сквозной расчёт фильтров'!E17</f>
        <v>16.02859817925949</v>
      </c>
      <c r="C2" s="78">
        <f>'Сквозной расчёт фильтров'!E18</f>
        <v>1.4</v>
      </c>
      <c r="D2" s="144" t="str">
        <f>'Сквозной расчёт фильтров'!E19</f>
        <v>70/35</v>
      </c>
      <c r="E2" s="63" cm="1">
        <f t="array" ref="E2">IF(OR(B2=0,B2=""),"",_xlfn.LET(_xlpm.wire,_xlfn.XLOOKUP(C2,'DATA_Провода,Каркасы'!$A$3:$A$11,'DATA_Провода,Каркасы'!$B$3:$B$11),_xlpm.core,_xlfn.XLOOKUP(D2,'DATA_Провода,Каркасы'!$H$3:$H$18,'DATA_Провода,Каркасы'!$I$3:$I$18),_xlpm.height,_xlfn.XLOOKUP(D2,'DATA_Провода,Каркасы'!$H$3:$H$18,'DATA_Провода,Каркасы'!$J$3:$J$18),_xlpm.calc,COILCALC(B2,C2,_xlpm.wire,_xlpm.core,_xlpm.height),INDEX(_xlpm.calc,3)))</f>
        <v>1.5046471062857143</v>
      </c>
      <c r="F2" s="64" cm="1">
        <f t="array" ref="F2">IF(OR(B2=0,B2=""),"",_xlfn.LET(_xlpm.wire,_xlfn.XLOOKUP(C2,'DATA_Провода,Каркасы'!$A$3:$A$11,'DATA_Провода,Каркасы'!$B$3:$B$11),_xlpm.core,_xlfn.XLOOKUP(D2,'DATA_Провода,Каркасы'!$H$3:$H$18,'DATA_Провода,Каркасы'!$I$3:$I$18),_xlpm.height,_xlfn.XLOOKUP(D2,'DATA_Провода,Каркасы'!$H$3:$H$18,'DATA_Провода,Каркасы'!$J$3:$J$18),_xlpm.calc,COILCALC(B2,C2,_xlpm.wire,_xlpm.core,_xlpm.height),INDEX(_xlpm.calc,1)))</f>
        <v>434</v>
      </c>
      <c r="G2" s="146" cm="1">
        <f t="array" ref="G2">IF(OR(B2=0,B2=""),"",_xlfn.LET(_xlpm.wire,_xlfn.XLOOKUP(C2,'DATA_Провода,Каркасы'!$A$3:$A$11,'DATA_Провода,Каркасы'!$B$3:$B$11),_xlpm.core,_xlfn.XLOOKUP(D2,'DATA_Провода,Каркасы'!$H$3:$H$18,'DATA_Провода,Каркасы'!$I$3:$I$18),_xlpm.height,_xlfn.XLOOKUP(D2,'DATA_Провода,Каркасы'!$H$3:$H$18,'DATA_Провода,Каркасы'!$J$3:$J$18),_xlpm.calc,COILCALC(B2,C2,_xlpm.wire,_xlpm.core,_xlpm.height),INDEX(_xlpm.calc,4)))</f>
        <v>28.538</v>
      </c>
      <c r="H2" s="65">
        <f>'Сквозной расчёт фильтров'!D2</f>
        <v>120</v>
      </c>
      <c r="I2" s="148">
        <f>'Сквозной расчёт фильтров'!D16</f>
        <v>25</v>
      </c>
      <c r="J2" s="63">
        <f>IF(OR(H2=0, I2=0), 0, (H2/I2) * E2 * 0.05)</f>
        <v>0.3611153055085714</v>
      </c>
      <c r="K2" s="64">
        <f>IF(OR(B2=0,B2="",J2=""),"",IF(J2=0,25,_xlfn.LET(_xlpm.core,_xlfn.XLOOKUP(D2,'DATA_Провода,Каркасы'!$H$3:$H$18,'DATA_Провода,Каркасы'!$I$3:$I$18),_xlpm.height,_xlfn.XLOOKUP(D2,'DATA_Провода,Каркасы'!$H$3:$H$18,'DATA_Провода,Каркасы'!$J$3:$J$18),25+J2/((((_xlpm.core+2*G2)*PI()*_xlpm.height)+(2*PI()*(((_xlpm.core/2+G2)^2)-((_xlpm.core/2)^2))))/1000000*10))))</f>
        <v>26.141269702371222</v>
      </c>
      <c r="L2" s="150" cm="1">
        <f t="array" ref="L2">IF(OR(B2=0,B2=""),"",IF(K2="","",CalcRealTemp(K2,0,'Сквозной расчёт фильтров'!D6)))</f>
        <v>25.104996812618154</v>
      </c>
      <c r="M2" s="63" cm="1">
        <f t="array" ref="M2">IF(OR(B2=0,B2=""),"",_xlfn.LET(_xlpm.wire,_xlfn.XLOOKUP(C2,'DATA_Провода,Каркасы'!$A$3:$A$11,'DATA_Провода,Каркасы'!$B$3:$B$11),_xlpm.core,_xlfn.XLOOKUP(D2,'DATA_Провода,Каркасы'!$H$3:$H$18,'DATA_Провода,Каркасы'!$I$3:$I$18),_xlpm.height,_xlfn.XLOOKUP(D2,'DATA_Провода,Каркасы'!$H$3:$H$18,'DATA_Провода,Каркасы'!$J$3:$J$18),_xlpm.calc,COILCALC(B2,C2,_xlpm.wire,_xlpm.core,_xlpm.height),INDEX(_xlpm.calc,2)))</f>
        <v>134.35175549436192</v>
      </c>
      <c r="N2" s="153">
        <f>IF(OR(B2=0,B2="",M2=""),0,_xlfn.LET(_xlpm.massPerM,_xlfn.XLOOKUP(C2,'DATA_Провода,Каркасы'!$A$3:$A$11,'DATA_Провода,Каркасы'!$D$3:$D$11),_xlpm.price,_xlfn.XLOOKUP(C2,'DATA_Провода,Каркасы'!$A$3:$A$11,'DATA_Провода,Каркасы'!$F$3:$F$11),(M2*_xlpm.massPerM/1000)*_xlpm.price))</f>
        <v>4596.5094348508574</v>
      </c>
    </row>
    <row r="3" spans="1:14" ht="18.75" customHeight="1" x14ac:dyDescent="0.25">
      <c r="A3" s="143" t="s">
        <v>88</v>
      </c>
      <c r="B3" s="74">
        <f>'Сквозной расчёт фильтров'!K17</f>
        <v>9.8271620972956892</v>
      </c>
      <c r="C3" s="78">
        <f>'Сквозной расчёт фильтров'!K18</f>
        <v>1.4</v>
      </c>
      <c r="D3" s="145" t="str">
        <f>'Сквозной расчёт фильтров'!K19</f>
        <v>70/35</v>
      </c>
      <c r="E3" s="63" cm="1">
        <f t="array" ref="E3">IF(OR(B3=0,B3=""),"",_xlfn.LET(_xlpm.wire,_xlfn.XLOOKUP(C3,'DATA_Провода,Каркасы'!$A$3:$A$11,'DATA_Провода,Каркасы'!$B$3:$B$11),_xlpm.core,_xlfn.XLOOKUP(D3,'DATA_Провода,Каркасы'!$H$3:$H$18,'DATA_Провода,Каркасы'!$I$3:$I$18),_xlpm.height,_xlfn.XLOOKUP(D3,'DATA_Провода,Каркасы'!$H$3:$H$18,'DATA_Провода,Каркасы'!$J$3:$J$18),_xlpm.calc,COILCALC(B3,C3,_xlpm.wire,_xlpm.core,_xlpm.height),INDEX(_xlpm.calc,3)))</f>
        <v>1.1447033495510204</v>
      </c>
      <c r="F3" s="64" cm="1">
        <f t="array" ref="F3">IF(OR(B3=0,B3=""),"",_xlfn.LET(_xlpm.wire,_xlfn.XLOOKUP(C3,'DATA_Провода,Каркасы'!$A$3:$A$11,'DATA_Провода,Каркасы'!$B$3:$B$11),_xlpm.core,_xlfn.XLOOKUP(D3,'DATA_Провода,Каркасы'!$H$3:$H$18,'DATA_Провода,Каркасы'!$I$3:$I$18),_xlpm.height,_xlfn.XLOOKUP(D3,'DATA_Провода,Каркасы'!$H$3:$H$18,'DATA_Провода,Каркасы'!$J$3:$J$18),_xlpm.calc,COILCALC(B3,C3,_xlpm.wire,_xlpm.core,_xlpm.height),INDEX(_xlpm.calc,1)))</f>
        <v>346</v>
      </c>
      <c r="G3" s="147" cm="1">
        <f t="array" ref="G3">IF(OR(B3=0,B3=""),"",_xlfn.LET(_xlpm.wire,_xlfn.XLOOKUP(C3,'DATA_Провода,Каркасы'!$A$3:$A$11,'DATA_Провода,Каркасы'!$B$3:$B$11),_xlpm.core,_xlfn.XLOOKUP(D3,'DATA_Провода,Каркасы'!$H$3:$H$18,'DATA_Провода,Каркасы'!$I$3:$I$18),_xlpm.height,_xlfn.XLOOKUP(D3,'DATA_Провода,Каркасы'!$H$3:$H$18,'DATA_Провода,Каркасы'!$J$3:$J$18),_xlpm.calc,COILCALC(B3,C3,_xlpm.wire,_xlpm.core,_xlpm.height),INDEX(_xlpm.calc,4)))</f>
        <v>24.032</v>
      </c>
      <c r="H3" s="65">
        <f>'Сквозной расчёт фильтров'!D2</f>
        <v>120</v>
      </c>
      <c r="I3" s="149">
        <f>'Сквозной расчёт фильтров'!J16</f>
        <v>18</v>
      </c>
      <c r="J3" s="63">
        <f>IF(OR(H3=0, I3=0), 0, (H3/I3) * E3 * 0.05)</f>
        <v>0.38156778318367346</v>
      </c>
      <c r="K3" s="64">
        <f>IF(OR(B3=0,B3="",J3=""),"",IF(J3=0,25,_xlfn.LET(_xlpm.core,_xlfn.XLOOKUP(D3,'DATA_Провода,Каркасы'!$H$3:$H$18,'DATA_Провода,Каркасы'!$I$3:$I$18),_xlpm.height,_xlfn.XLOOKUP(D3,'DATA_Провода,Каркасы'!$H$3:$H$18,'DATA_Провода,Каркасы'!$J$3:$J$18),25+J3/((((_xlpm.core+2*G3)*PI()*_xlpm.height)+(2*PI()*(((_xlpm.core/2+G3)^2)-((_xlpm.core/2)^2))))/1000000*10))))</f>
        <v>26.4038336668991</v>
      </c>
      <c r="L3" s="151" cm="1">
        <f t="array" ref="L3">IF(OR(B3=0,B3=""),"",IF(K3="","",CalcRealTemp(K3,0,'Сквозной расчёт фильтров'!J6)))</f>
        <v>25.475431668523161</v>
      </c>
      <c r="M3" s="63" cm="1">
        <f t="array" ref="M3">IF(OR(B3=0,B3=""),"",_xlfn.LET(_xlpm.wire,_xlfn.XLOOKUP(C3,'DATA_Провода,Каркасы'!$A$3:$A$11,'DATA_Провода,Каркасы'!$B$3:$B$11),_xlpm.core,_xlfn.XLOOKUP(D3,'DATA_Провода,Каркасы'!$H$3:$H$18,'DATA_Провода,Каркасы'!$I$3:$I$18),_xlpm.height,_xlfn.XLOOKUP(D3,'DATA_Провода,Каркасы'!$H$3:$H$18,'DATA_Провода,Каркасы'!$J$3:$J$18),_xlpm.calc,COILCALC(B3,C3,_xlpm.wire,_xlpm.core,_xlpm.height),INDEX(_xlpm.calc,2)))</f>
        <v>102.21194317922171</v>
      </c>
      <c r="N3" s="154">
        <f>IF(OR(B3=0,B3="",M3=""),0,_xlfn.LET(_xlpm.massPerM,_xlfn.XLOOKUP(C3,'DATA_Провода,Каркасы'!$A$3:$A$11,'DATA_Провода,Каркасы'!$D$3:$D$11),_xlpm.price,_xlfn.XLOOKUP(C3,'DATA_Провода,Каркасы'!$A$3:$A$11,'DATA_Провода,Каркасы'!$F$3:$F$11),(M3*_xlpm.massPerM/1000)*_xlpm.price))</f>
        <v>3496.9261060191229</v>
      </c>
    </row>
    <row r="4" spans="1:14" ht="18.75" customHeight="1" x14ac:dyDescent="0.25">
      <c r="A4" s="143" t="s">
        <v>65</v>
      </c>
      <c r="B4" s="74">
        <f>'Сквозной расчёт фильтров'!H17</f>
        <v>1.175978190623449</v>
      </c>
      <c r="C4" s="78">
        <f>'Сквозной расчёт фильтров'!H18</f>
        <v>1.4</v>
      </c>
      <c r="D4" s="145" t="str">
        <f>'Сквозной расчёт фильтров'!H19</f>
        <v>50/25</v>
      </c>
      <c r="E4" s="63" cm="1">
        <f t="array" ref="E4">IF(OR(B4=0,B4=""),"",_xlfn.LET(_xlpm.wire,_xlfn.XLOOKUP(C4,'DATA_Провода,Каркасы'!$A$3:$A$11,'DATA_Провода,Каркасы'!$B$3:$B$11),_xlpm.core,_xlfn.XLOOKUP(D4,'DATA_Провода,Каркасы'!$H$3:$H$18,'DATA_Провода,Каркасы'!$I$3:$I$18),_xlpm.height,_xlfn.XLOOKUP(D4,'DATA_Провода,Каркасы'!$H$3:$H$18,'DATA_Провода,Каркасы'!$J$3:$J$18),_xlpm.calc,COILCALC(B4,C4,_xlpm.wire,_xlpm.core,_xlpm.height),INDEX(_xlpm.calc,3)))</f>
        <v>0.31957590971428573</v>
      </c>
      <c r="F4" s="64" cm="1">
        <f t="array" ref="F4">IF(OR(B4=0,B4=""),"",_xlfn.LET(_xlpm.wire,_xlfn.XLOOKUP(C4,'DATA_Провода,Каркасы'!$A$3:$A$11,'DATA_Провода,Каркасы'!$B$3:$B$11),_xlpm.core,_xlfn.XLOOKUP(D4,'DATA_Провода,Каркасы'!$H$3:$H$18,'DATA_Провода,Каркасы'!$I$3:$I$18),_xlpm.height,_xlfn.XLOOKUP(D4,'DATA_Провода,Каркасы'!$H$3:$H$18,'DATA_Провода,Каркасы'!$J$3:$J$18),_xlpm.calc,COILCALC(B4,C4,_xlpm.wire,_xlpm.core,_xlpm.height),INDEX(_xlpm.calc,1)))</f>
        <v>143</v>
      </c>
      <c r="G4" s="147" cm="1">
        <f t="array" ref="G4">IF(OR(B4=0,B4=""),"",_xlfn.LET(_xlpm.wire,_xlfn.XLOOKUP(C4,'DATA_Провода,Каркасы'!$A$3:$A$11,'DATA_Провода,Каркасы'!$B$3:$B$11),_xlpm.core,_xlfn.XLOOKUP(D4,'DATA_Провода,Каркасы'!$H$3:$H$18,'DATA_Провода,Каркасы'!$I$3:$I$18),_xlpm.height,_xlfn.XLOOKUP(D4,'DATA_Провода,Каркасы'!$H$3:$H$18,'DATA_Провода,Каркасы'!$J$3:$J$18),_xlpm.calc,COILCALC(B4,C4,_xlpm.wire,_xlpm.core,_xlpm.height),INDEX(_xlpm.calc,4)))</f>
        <v>13.518000000000001</v>
      </c>
      <c r="H4" s="65">
        <f>'Сквозной расчёт фильтров'!D2</f>
        <v>120</v>
      </c>
      <c r="I4" s="149">
        <f>'Сквозной расчёт фильтров'!G16</f>
        <v>10</v>
      </c>
      <c r="J4" s="63">
        <f>IF(OR(H4=0, I4=0), 0, (H4/I4) * E4 * 0.05)</f>
        <v>0.19174554582857145</v>
      </c>
      <c r="K4" s="64">
        <f>IF(OR(B4=0,B4="",J4=""),"",IF(J4=0,25,_xlfn.LET(_xlpm.core,_xlfn.XLOOKUP(D4,'DATA_Провода,Каркасы'!$H$3:$H$18,'DATA_Провода,Каркасы'!$I$3:$I$18),_xlpm.height,_xlfn.XLOOKUP(D4,'DATA_Провода,Каркасы'!$H$3:$H$18,'DATA_Провода,Каркасы'!$J$3:$J$18),25+J4/((((_xlpm.core+2*G4)*PI()*_xlpm.height)+(2*PI()*(((_xlpm.core/2+G4)^2)-((_xlpm.core/2)^2))))/1000000*10))))</f>
        <v>26.675311843989814</v>
      </c>
      <c r="L4" s="151" cm="1">
        <f t="array" ref="L4">IF(OR(B4=0,B4=""),"",IF(K4="","",CalcRealTemp(K4,0,'Сквозной расчёт фильтров'!G6)))</f>
        <v>25.943759005447596</v>
      </c>
      <c r="M4" s="63" cm="1">
        <f t="array" ref="M4">IF(OR(B4=0,B4=""),"",_xlfn.LET(_xlpm.wire,_xlfn.XLOOKUP(C4,'DATA_Провода,Каркасы'!$A$3:$A$11,'DATA_Провода,Каркасы'!$B$3:$B$11),_xlpm.core,_xlfn.XLOOKUP(D4,'DATA_Провода,Каркасы'!$H$3:$H$18,'DATA_Провода,Каркасы'!$I$3:$I$18),_xlpm.height,_xlfn.XLOOKUP(D4,'DATA_Провода,Каркасы'!$H$3:$H$18,'DATA_Провода,Каркасы'!$J$3:$J$18),_xlpm.calc,COILCALC(B4,C4,_xlpm.wire,_xlpm.core,_xlpm.height),INDEX(_xlpm.calc,2)))</f>
        <v>28.535318550414338</v>
      </c>
      <c r="N4" s="154">
        <f>IF(OR(B4=0,B4="",M4=""),0,_xlfn.LET(_xlpm.massPerM,_xlfn.XLOOKUP(C4,'DATA_Провода,Каркасы'!$A$3:$A$11,'DATA_Провода,Каркасы'!$D$3:$D$11),_xlpm.price,_xlfn.XLOOKUP(C4,'DATA_Провода,Каркасы'!$A$3:$A$11,'DATA_Провода,Каркасы'!$F$3:$F$11),(M4*_xlpm.massPerM/1000)*_xlpm.price))</f>
        <v>976.26458590605046</v>
      </c>
    </row>
    <row r="5" spans="1:14" ht="18.75" customHeight="1" x14ac:dyDescent="0.25">
      <c r="A5" s="143" t="s">
        <v>63</v>
      </c>
      <c r="B5" s="74">
        <f>'Сквозной расчёт фильтров'!E58</f>
        <v>1.0573015173208118</v>
      </c>
      <c r="C5" s="78">
        <f>'Сквозной расчёт фильтров'!E59</f>
        <v>1.6</v>
      </c>
      <c r="D5" s="145" t="str">
        <f>'Сквозной расчёт фильтров'!E60</f>
        <v>50/25</v>
      </c>
      <c r="E5" s="63" cm="1">
        <f t="array" ref="E5">IF(OR(B5=0,B5=""),"",_xlfn.LET(_xlpm.wire,_xlfn.XLOOKUP(C5,'DATA_Провода,Каркасы'!$A$3:$A$11,'DATA_Провода,Каркасы'!$B$3:$B$11),_xlpm.core,_xlfn.XLOOKUP(D5,'DATA_Провода,Каркасы'!$H$3:$H$18,'DATA_Провода,Каркасы'!$I$3:$I$18),_xlpm.height,_xlfn.XLOOKUP(D5,'DATA_Провода,Каркасы'!$H$3:$H$18,'DATA_Провода,Каркасы'!$J$3:$J$18),_xlpm.calc,COILCALC(B5,C5,_xlpm.wire,_xlpm.core,_xlpm.height),INDEX(_xlpm.calc,3)))</f>
        <v>0.24206145249999991</v>
      </c>
      <c r="F5" s="64" cm="1">
        <f t="array" ref="F5">IF(OR(B5=0,B5=""),"",_xlfn.LET(_xlpm.wire,_xlfn.XLOOKUP(C5,'DATA_Провода,Каркасы'!$A$3:$A$11,'DATA_Провода,Каркасы'!$B$3:$B$11),_xlpm.core,_xlfn.XLOOKUP(D5,'DATA_Провода,Каркасы'!$H$3:$H$18,'DATA_Провода,Каркасы'!$I$3:$I$18),_xlpm.height,_xlfn.XLOOKUP(D5,'DATA_Провода,Каркасы'!$H$3:$H$18,'DATA_Провода,Каркасы'!$J$3:$J$18),_xlpm.calc,COILCALC(B5,C5,_xlpm.wire,_xlpm.core,_xlpm.height),INDEX(_xlpm.calc,1)))</f>
        <v>134</v>
      </c>
      <c r="G5" s="147" cm="1">
        <f t="array" ref="G5">IF(OR(B5=0,B5=""),"",_xlfn.LET(_xlpm.wire,_xlfn.XLOOKUP(C5,'DATA_Провода,Каркасы'!$A$3:$A$11,'DATA_Провода,Каркасы'!$B$3:$B$11),_xlpm.core,_xlfn.XLOOKUP(D5,'DATA_Провода,Каркасы'!$H$3:$H$18,'DATA_Провода,Каркасы'!$I$3:$I$18),_xlpm.height,_xlfn.XLOOKUP(D5,'DATA_Провода,Каркасы'!$H$3:$H$18,'DATA_Провода,Каркасы'!$J$3:$J$18),_xlpm.calc,COILCALC(B5,C5,_xlpm.wire,_xlpm.core,_xlpm.height),INDEX(_xlpm.calc,4)))</f>
        <v>17.059999999999999</v>
      </c>
      <c r="H5" s="65">
        <f>'Сквозной расчёт фильтров'!D2</f>
        <v>120</v>
      </c>
      <c r="I5" s="149">
        <f>'Сквозной расчёт фильтров'!D55</f>
        <v>6.7</v>
      </c>
      <c r="J5" s="63">
        <f>IF(OR(H5=0, I5=0), 0, (H5/I5)*E5)</f>
        <v>4.3354289999999978</v>
      </c>
      <c r="K5" s="64">
        <f>IF(OR(B5=0,B5="",J5=""),"",IF(J5=0,25,_xlfn.LET(_xlpm.core,_xlfn.XLOOKUP(D5,'DATA_Провода,Каркасы'!$H$3:$H$18,'DATA_Провода,Каркасы'!$I$3:$I$18),_xlpm.height,_xlfn.XLOOKUP(D5,'DATA_Провода,Каркасы'!$H$3:$H$18,'DATA_Провода,Каркасы'!$J$3:$J$18),25+J5/((((_xlpm.core+2*G5)*PI()*_xlpm.height)+(2*PI()*(((_xlpm.core/2+G5)^2)-((_xlpm.core/2)^2))))/1000000*10))))</f>
        <v>56.427522358196498</v>
      </c>
      <c r="L5" s="151" cm="1">
        <f t="array" ref="L5">IF(OR(B5=0,B5=""),"",IF(K5="","",CalcRealTemp(K5,0,'Сквозной расчёт фильтров'!D53)))</f>
        <v>41.121154987445237</v>
      </c>
      <c r="M5" s="63" cm="1">
        <f t="array" ref="M5">IF(OR(B5=0,B5=""),"",_xlfn.LET(_xlpm.wire,_xlfn.XLOOKUP(C5,'DATA_Провода,Каркасы'!$A$3:$A$11,'DATA_Провода,Каркасы'!$B$3:$B$11),_xlpm.core,_xlfn.XLOOKUP(D5,'DATA_Провода,Каркасы'!$H$3:$H$18,'DATA_Провода,Каркасы'!$I$3:$I$18),_xlpm.height,_xlfn.XLOOKUP(D5,'DATA_Провода,Каркасы'!$H$3:$H$18,'DATA_Провода,Каркасы'!$J$3:$J$18),_xlpm.calc,COILCALC(B5,C5,_xlpm.wire,_xlpm.core,_xlpm.height),INDEX(_xlpm.calc,2)))</f>
        <v>28.230477248865885</v>
      </c>
      <c r="N5" s="154">
        <f>IF(OR(B5=0,B5="",M5=""),0,_xlfn.LET(_xlpm.massPerM,_xlfn.XLOOKUP(C5,'DATA_Провода,Каркасы'!$A$3:$A$11,'DATA_Провода,Каркасы'!$D$3:$D$11),_xlpm.price,_xlfn.XLOOKUP(C5,'DATA_Провода,Каркасы'!$A$3:$A$11,'DATA_Провода,Каркасы'!$F$3:$F$11),(M5*_xlpm.massPerM/1000)*_xlpm.price))</f>
        <v>1261.478875865572</v>
      </c>
    </row>
    <row r="6" spans="1:14" ht="18.75" customHeight="1" x14ac:dyDescent="0.25">
      <c r="A6" s="143" t="s">
        <v>169</v>
      </c>
      <c r="B6" s="74">
        <f>'Сквозной расчёт фильтров'!E41</f>
        <v>0.6978042950574227</v>
      </c>
      <c r="C6" s="78">
        <f>'Сквозной расчёт фильтров'!E43</f>
        <v>2</v>
      </c>
      <c r="D6" s="145" t="str">
        <f>'Сквозной расчёт фильтров'!E44</f>
        <v>50/25</v>
      </c>
      <c r="E6" s="63" cm="1">
        <f t="array" ref="E6">IF(OR(B6=0,B6=""),"",_xlfn.LET(_xlpm.wire,_xlfn.XLOOKUP(C6,'DATA_Провода,Каркасы'!$A$3:$A$11,'DATA_Провода,Каркасы'!$B$3:$B$11),_xlpm.core,_xlfn.XLOOKUP(D6,'DATA_Провода,Каркасы'!$H$3:$H$18,'DATA_Провода,Каркасы'!$I$3:$I$18),_xlpm.height,_xlfn.XLOOKUP(D6,'DATA_Провода,Каркасы'!$H$3:$H$18,'DATA_Провода,Каркасы'!$J$3:$J$18),_xlpm.calc,COILCALC(B6,C6,_xlpm.wire,_xlpm.core,_xlpm.height),INDEX(_xlpm.calc,3)))</f>
        <v>0.13119364159999999</v>
      </c>
      <c r="F6" s="64" cm="1">
        <f t="array" ref="F6">IF(OR(B6=0,B6=""),"",_xlfn.LET(_xlpm.wire,_xlfn.XLOOKUP(C6,'DATA_Провода,Каркасы'!$A$3:$A$11,'DATA_Провода,Каркасы'!$B$3:$B$11),_xlpm.core,_xlfn.XLOOKUP(D6,'DATA_Провода,Каркасы'!$H$3:$H$18,'DATA_Провода,Каркасы'!$I$3:$I$18),_xlpm.height,_xlfn.XLOOKUP(D6,'DATA_Провода,Каркасы'!$H$3:$H$18,'DATA_Провода,Каркасы'!$J$3:$J$18),_xlpm.calc,COILCALC(B6,C6,_xlpm.wire,_xlpm.core,_xlpm.height),INDEX(_xlpm.calc,1)))</f>
        <v>107</v>
      </c>
      <c r="G6" s="147" cm="1">
        <f t="array" ref="G6">IF(OR(B6=0,B6=""),"",_xlfn.LET(_xlpm.wire,_xlfn.XLOOKUP(C6,'DATA_Провода,Каркасы'!$A$3:$A$11,'DATA_Провода,Каркасы'!$B$3:$B$11),_xlpm.core,_xlfn.XLOOKUP(D6,'DATA_Провода,Каркасы'!$H$3:$H$18,'DATA_Провода,Каркасы'!$I$3:$I$18),_xlpm.height,_xlfn.XLOOKUP(D6,'DATA_Провода,Каркасы'!$H$3:$H$18,'DATA_Провода,Каркасы'!$J$3:$J$18),_xlpm.calc,COILCALC(B6,C6,_xlpm.wire,_xlpm.core,_xlpm.height),INDEX(_xlpm.calc,4)))</f>
        <v>21.12</v>
      </c>
      <c r="H6" s="65">
        <f>'Сквозной расчёт фильтров'!D2</f>
        <v>120</v>
      </c>
      <c r="I6" s="149">
        <f>'Сквозной расчёт фильтров'!D37</f>
        <v>7.9</v>
      </c>
      <c r="J6" s="63">
        <f>IF(OR(H6=0, I6=0), 0, (H6/I6)*E6)</f>
        <v>1.9928148091139239</v>
      </c>
      <c r="K6" s="64">
        <f>IF(OR(B6=0,B6="",J6=""),"",IF(J6=0,25,_xlfn.LET(_xlpm.core,_xlfn.XLOOKUP(D6,'DATA_Провода,Каркасы'!$H$3:$H$18,'DATA_Провода,Каркасы'!$I$3:$I$18),_xlpm.height,_xlfn.XLOOKUP(D6,'DATA_Провода,Каркасы'!$H$3:$H$18,'DATA_Провода,Каркасы'!$J$3:$J$18),25+J6/((((_xlpm.core+2*G6)*PI()*_xlpm.height)+(2*PI()*(((_xlpm.core/2+G6)^2)-((_xlpm.core/2)^2))))/1000000*10))))</f>
        <v>36.945756272911503</v>
      </c>
      <c r="L6" s="152" cm="1">
        <f t="array" ref="L6">IF(OR(B6=0,B6=""),"",IF(K6="","",CalcRealTemp(K6,0,'Сквозной расчёт фильтров'!D36)))</f>
        <v>35.243486004021612</v>
      </c>
      <c r="M6" s="63" cm="1">
        <f t="array" ref="M6">IF(OR(B6=0,B6=""),"",_xlfn.LET(_xlpm.wire,_xlfn.XLOOKUP(C6,'DATA_Провода,Каркасы'!$A$3:$A$11,'DATA_Провода,Каркасы'!$B$3:$B$11),_xlpm.core,_xlfn.XLOOKUP(D6,'DATA_Провода,Каркасы'!$H$3:$H$18,'DATA_Провода,Каркасы'!$I$3:$I$18),_xlpm.height,_xlfn.XLOOKUP(D6,'DATA_Провода,Каркасы'!$H$3:$H$18,'DATA_Провода,Каркасы'!$J$3:$J$18),_xlpm.calc,COILCALC(B6,C6,_xlpm.wire,_xlpm.core,_xlpm.height),INDEX(_xlpm.calc,2)))</f>
        <v>23.907017438995329</v>
      </c>
      <c r="N6" s="154">
        <f>IF(OR(B6=0,B6="",M6=""),0,_xlfn.LET(_xlpm.massPerM,_xlfn.XLOOKUP(C6,'DATA_Провода,Каркасы'!$A$3:$A$11,'DATA_Провода,Каркасы'!$D$3:$D$11),_xlpm.price,_xlfn.XLOOKUP(C6,'DATA_Провода,Каркасы'!$A$3:$A$11,'DATA_Провода,Каркасы'!$F$3:$F$11),(M6*_xlpm.massPerM/1000)*_xlpm.price))</f>
        <v>1669.2477251342514</v>
      </c>
    </row>
    <row r="7" spans="1:14" ht="18.75" customHeight="1" x14ac:dyDescent="0.25">
      <c r="A7" s="143" t="s">
        <v>170</v>
      </c>
      <c r="B7" s="74">
        <f>'Сквозной расчёт фильтров'!E42</f>
        <v>0.35242641164516303</v>
      </c>
      <c r="C7" s="78">
        <f>'Сквозной расчёт фильтров'!E47</f>
        <v>2</v>
      </c>
      <c r="D7" s="145" t="str">
        <f>'Сквозной расчёт фильтров'!E48</f>
        <v>50/25</v>
      </c>
      <c r="E7" s="63" cm="1">
        <f t="array" ref="E7">IF(OR(B7=0,B7=""),"",_xlfn.LET(_xlpm.wire,_xlfn.XLOOKUP(C7,'DATA_Провода,Каркасы'!$A$3:$A$11,'DATA_Провода,Каркасы'!$B$3:$B$11),_xlpm.core,_xlfn.XLOOKUP(D7,'DATA_Провода,Каркасы'!$H$3:$H$18,'DATA_Провода,Каркасы'!$I$3:$I$18),_xlpm.height,_xlfn.XLOOKUP(D7,'DATA_Провода,Каркасы'!$H$3:$H$18,'DATA_Провода,Каркасы'!$J$3:$J$18),_xlpm.calc,COILCALC(B7,C7,_xlpm.wire,_xlpm.core,_xlpm.height),INDEX(_xlpm.calc,3)))</f>
        <v>8.9956389119999994E-2</v>
      </c>
      <c r="F7" s="64" cm="1">
        <f t="array" ref="F7">IF(OR(B7=0,B7=""),"",_xlfn.LET(_xlpm.wire,_xlfn.XLOOKUP(C7,'DATA_Провода,Каркасы'!$A$3:$A$11,'DATA_Провода,Каркасы'!$B$3:$B$11),_xlpm.core,_xlfn.XLOOKUP(D7,'DATA_Провода,Каркасы'!$H$3:$H$18,'DATA_Провода,Каркасы'!$I$3:$I$18),_xlpm.height,_xlfn.XLOOKUP(D7,'DATA_Провода,Каркасы'!$H$3:$H$18,'DATA_Провода,Каркасы'!$J$3:$J$18),_xlpm.calc,COILCALC(B7,C7,_xlpm.wire,_xlpm.core,_xlpm.height),INDEX(_xlpm.calc,1)))</f>
        <v>78</v>
      </c>
      <c r="G7" s="147" cm="1">
        <f t="array" ref="G7">IF(OR(B7=0,B7=""),"",_xlfn.LET(_xlpm.wire,_xlfn.XLOOKUP(C7,'DATA_Провода,Каркасы'!$A$3:$A$11,'DATA_Провода,Каркасы'!$B$3:$B$11),_xlpm.core,_xlfn.XLOOKUP(D7,'DATA_Провода,Каркасы'!$H$3:$H$18,'DATA_Провода,Каркасы'!$I$3:$I$18),_xlpm.height,_xlfn.XLOOKUP(D7,'DATA_Провода,Каркасы'!$H$3:$H$18,'DATA_Провода,Каркасы'!$J$3:$J$18),_xlpm.calc,COILCALC(B7,C7,_xlpm.wire,_xlpm.core,_xlpm.height),INDEX(_xlpm.calc,4)))</f>
        <v>16.896000000000001</v>
      </c>
      <c r="H7" s="65">
        <f>'Сквозной расчёт фильтров'!D2</f>
        <v>120</v>
      </c>
      <c r="I7" s="149">
        <f>'Сквозной расчёт фильтров'!D37</f>
        <v>7.9</v>
      </c>
      <c r="J7" s="63">
        <f>IF(OR(H7=0, I7=0), 0, (H7/I7)*E7)</f>
        <v>1.366426163848101</v>
      </c>
      <c r="K7" s="64">
        <f>IF(OR(B7=0,B7="",J7=""),"",IF(J7=0,25,_xlfn.LET(_xlpm.core,_xlfn.XLOOKUP(D7,'DATA_Провода,Каркасы'!$H$3:$H$18,'DATA_Провода,Каркасы'!$I$3:$I$18),_xlpm.height,_xlfn.XLOOKUP(D7,'DATA_Провода,Каркасы'!$H$3:$H$18,'DATA_Провода,Каркасы'!$J$3:$J$18),25+J7/((((_xlpm.core+2*G7)*PI()*_xlpm.height)+(2*PI()*(((_xlpm.core/2+G7)^2)-((_xlpm.core/2)^2))))/1000000*10))))</f>
        <v>34.98649921231037</v>
      </c>
      <c r="L7" s="151" cm="1">
        <f t="array" ref="L7">IF(OR(B7=0,B7=""),"",IF(K7="","",CalcRealTemp(K7,0,'Сквозной расчёт фильтров'!D36)))</f>
        <v>33.563423074556141</v>
      </c>
      <c r="M7" s="63" cm="1">
        <f t="array" ref="M7">IF(OR(B7=0,B7=""),"",_xlfn.LET(_xlpm.wire,_xlfn.XLOOKUP(C7,'DATA_Провода,Каркасы'!$A$3:$A$11,'DATA_Провода,Каркасы'!$B$3:$B$11),_xlpm.core,_xlfn.XLOOKUP(D7,'DATA_Провода,Каркасы'!$H$3:$H$18,'DATA_Провода,Каркасы'!$I$3:$I$18),_xlpm.height,_xlfn.XLOOKUP(D7,'DATA_Провода,Каркасы'!$H$3:$H$18,'DATA_Провода,Каркасы'!$J$3:$J$18),_xlpm.calc,COILCALC(B7,C7,_xlpm.wire,_xlpm.core,_xlpm.height),INDEX(_xlpm.calc,2)))</f>
        <v>16.39247860805542</v>
      </c>
      <c r="N7" s="154">
        <f>IF(OR(B7=0,B7="",M7=""),0,_xlfn.LET(_xlpm.massPerM,_xlfn.XLOOKUP(C7,'DATA_Провода,Каркасы'!$A$3:$A$11,'DATA_Провода,Каркасы'!$D$3:$D$11),_xlpm.price,_xlfn.XLOOKUP(C7,'DATA_Провода,Каркасы'!$A$3:$A$11,'DATA_Провода,Каркасы'!$F$3:$F$11),(M7*_xlpm.massPerM/1000)*_xlpm.price))</f>
        <v>1144.5638376109496</v>
      </c>
    </row>
    <row r="8" spans="1:14" ht="18.75" customHeight="1" x14ac:dyDescent="0.25">
      <c r="A8" s="143" t="s">
        <v>163</v>
      </c>
      <c r="B8" s="74">
        <f>'Сквозной расчёт фильтров'!N41</f>
        <v>0.44858847539405777</v>
      </c>
      <c r="C8" s="78">
        <f>'Сквозной расчёт фильтров'!N43</f>
        <v>1.4</v>
      </c>
      <c r="D8" s="145" t="str">
        <f>'Сквозной расчёт фильтров'!N44</f>
        <v>40/20</v>
      </c>
      <c r="E8" s="63" cm="1">
        <f t="array" ref="E8">IF(OR(B8=0,B8=""),"",_xlfn.LET(_xlpm.wire,_xlfn.XLOOKUP(C8,'DATA_Провода,Каркасы'!$A$3:$A$11,'DATA_Провода,Каркасы'!$B$3:$B$11),_xlpm.core,_xlfn.XLOOKUP(D8,'DATA_Провода,Каркасы'!$H$3:$H$18,'DATA_Провода,Каркасы'!$I$3:$I$18),_xlpm.height,_xlfn.XLOOKUP(D8,'DATA_Провода,Каркасы'!$H$3:$H$18,'DATA_Провода,Каркасы'!$J$3:$J$18),_xlpm.calc,COILCALC(B8,C8,_xlpm.wire,_xlpm.core,_xlpm.height),INDEX(_xlpm.calc,3)))</f>
        <v>0.18118128195918368</v>
      </c>
      <c r="F8" s="64" cm="1">
        <f t="array" ref="F8">IF(OR(B8=0,B8=""),"",_xlfn.LET(_xlpm.wire,_xlfn.XLOOKUP(C8,'DATA_Провода,Каркасы'!$A$3:$A$11,'DATA_Провода,Каркасы'!$B$3:$B$11),_xlpm.core,_xlfn.XLOOKUP(D8,'DATA_Провода,Каркасы'!$H$3:$H$18,'DATA_Провода,Каркасы'!$I$3:$I$18),_xlpm.height,_xlfn.XLOOKUP(D8,'DATA_Провода,Каркасы'!$H$3:$H$18,'DATA_Провода,Каркасы'!$J$3:$J$18),_xlpm.calc,COILCALC(B8,C8,_xlpm.wire,_xlpm.core,_xlpm.height),INDEX(_xlpm.calc,1)))</f>
        <v>99</v>
      </c>
      <c r="G8" s="147" cm="1">
        <f t="array" ref="G8">IF(OR(B8=0,B8=""),"",_xlfn.LET(_xlpm.wire,_xlfn.XLOOKUP(C8,'DATA_Провода,Каркасы'!$A$3:$A$11,'DATA_Провода,Каркасы'!$B$3:$B$11),_xlpm.core,_xlfn.XLOOKUP(D8,'DATA_Провода,Каркасы'!$H$3:$H$18,'DATA_Провода,Каркасы'!$I$3:$I$18),_xlpm.height,_xlfn.XLOOKUP(D8,'DATA_Провода,Каркасы'!$H$3:$H$18,'DATA_Провода,Каркасы'!$J$3:$J$18),_xlpm.calc,COILCALC(B8,C8,_xlpm.wire,_xlpm.core,_xlpm.height),INDEX(_xlpm.calc,4)))</f>
        <v>12.016</v>
      </c>
      <c r="H8" s="65">
        <f>'Сквозной расчёт фильтров'!D2</f>
        <v>120</v>
      </c>
      <c r="I8" s="149">
        <f>'Сквозной расчёт фильтров'!M37</f>
        <v>8</v>
      </c>
      <c r="J8" s="63">
        <f>IF(OR(H8=0, I8=0), 0, (H8/I8)*E8)</f>
        <v>2.7177192293877552</v>
      </c>
      <c r="K8" s="64">
        <f>IF(OR(B8=0,B8="",J8=""),"",IF(J8=0,25,_xlfn.LET(_xlpm.core,_xlfn.XLOOKUP(D8,'DATA_Провода,Каркасы'!$H$3:$H$18,'DATA_Провода,Каркасы'!$I$3:$I$18),_xlpm.height,_xlfn.XLOOKUP(D8,'DATA_Провода,Каркасы'!$H$3:$H$18,'DATA_Провода,Каркасы'!$J$3:$J$18),25+J8/((((_xlpm.core+2*G8)*PI()*_xlpm.height)+(2*PI()*(((_xlpm.core/2+G8)^2)-((_xlpm.core/2)^2))))/1000000*10))))</f>
        <v>59.183460132841347</v>
      </c>
      <c r="L8" s="152" cm="1">
        <f t="array" ref="L8">IF(OR(B8=0,B8=""),"",IF(K8="","",CalcRealTemp(K8,0,'Сквозной расчёт фильтров'!M36)))</f>
        <v>56.049976287330892</v>
      </c>
      <c r="M8" s="63" cm="1">
        <f t="array" ref="M8">IF(OR(B8=0,B8=""),"",_xlfn.LET(_xlpm.wire,_xlfn.XLOOKUP(C8,'DATA_Провода,Каркасы'!$A$3:$A$11,'DATA_Провода,Каркасы'!$B$3:$B$11),_xlpm.core,_xlfn.XLOOKUP(D8,'DATA_Провода,Каркасы'!$H$3:$H$18,'DATA_Провода,Каркасы'!$I$3:$I$18),_xlpm.height,_xlfn.XLOOKUP(D8,'DATA_Провода,Каркасы'!$H$3:$H$18,'DATA_Провода,Каркасы'!$J$3:$J$18),_xlpm.calc,COILCALC(B8,C8,_xlpm.wire,_xlpm.core,_xlpm.height),INDEX(_xlpm.calc,2)))</f>
        <v>16.177895263444608</v>
      </c>
      <c r="N8" s="154">
        <f>IF(OR(B8=0,B8="",M8=""),0,_xlfn.LET(_xlpm.massPerM,_xlfn.XLOOKUP(C8,'DATA_Провода,Каркасы'!$A$3:$A$11,'DATA_Провода,Каркасы'!$D$3:$D$11),_xlpm.price,_xlfn.XLOOKUP(C8,'DATA_Провода,Каркасы'!$A$3:$A$11,'DATA_Провода,Каркасы'!$F$3:$F$11),(M8*_xlpm.massPerM/1000)*_xlpm.price))</f>
        <v>553.48624170059861</v>
      </c>
    </row>
    <row r="9" spans="1:14" ht="18.75" customHeight="1" x14ac:dyDescent="0.25">
      <c r="A9" s="143" t="s">
        <v>164</v>
      </c>
      <c r="B9" s="74">
        <f>'Сквозной расчёт фильтров'!N42</f>
        <v>0.21470901386382246</v>
      </c>
      <c r="C9" s="78">
        <f>'Сквозной расчёт фильтров'!N47</f>
        <v>1.4</v>
      </c>
      <c r="D9" s="145" t="str">
        <f>'Сквозной расчёт фильтров'!N48</f>
        <v>35/17,5</v>
      </c>
      <c r="E9" s="63" cm="1">
        <f t="array" ref="E9">IF(OR(B9=0,B9=""),"",_xlfn.LET(_xlpm.wire,_xlfn.XLOOKUP(C9,'DATA_Провода,Каркасы'!$A$3:$A$11,'DATA_Провода,Каркасы'!$B$3:$B$11),_xlpm.core,_xlfn.XLOOKUP(D9,'DATA_Провода,Каркасы'!$H$3:$H$18,'DATA_Провода,Каркасы'!$I$3:$I$18),_xlpm.height,_xlfn.XLOOKUP(D9,'DATA_Провода,Каркасы'!$H$3:$H$18,'DATA_Провода,Каркасы'!$J$3:$J$18),_xlpm.calc,COILCALC(B9,C9,_xlpm.wire,_xlpm.core,_xlpm.height),INDEX(_xlpm.calc,3)))</f>
        <v>0.11689852914285714</v>
      </c>
      <c r="F9" s="64" cm="1">
        <f t="array" ref="F9">IF(OR(B9=0,B9=""),"",_xlfn.LET(_xlpm.wire,_xlfn.XLOOKUP(C9,'DATA_Провода,Каркасы'!$A$3:$A$11,'DATA_Провода,Каркасы'!$B$3:$B$11),_xlpm.core,_xlfn.XLOOKUP(D9,'DATA_Провода,Каркасы'!$H$3:$H$18,'DATA_Провода,Каркасы'!$I$3:$I$18),_xlpm.height,_xlfn.XLOOKUP(D9,'DATA_Провода,Каркасы'!$H$3:$H$18,'DATA_Провода,Каркасы'!$J$3:$J$18),_xlpm.calc,COILCALC(B9,C9,_xlpm.wire,_xlpm.core,_xlpm.height),INDEX(_xlpm.calc,1)))</f>
        <v>73</v>
      </c>
      <c r="G9" s="147" cm="1">
        <f t="array" ref="G9">IF(OR(B9=0,B9=""),"",_xlfn.LET(_xlpm.wire,_xlfn.XLOOKUP(C9,'DATA_Провода,Каркасы'!$A$3:$A$11,'DATA_Провода,Каркасы'!$B$3:$B$11),_xlpm.core,_xlfn.XLOOKUP(D9,'DATA_Провода,Каркасы'!$H$3:$H$18,'DATA_Провода,Каркасы'!$I$3:$I$18),_xlpm.height,_xlfn.XLOOKUP(D9,'DATA_Провода,Каркасы'!$H$3:$H$18,'DATA_Провода,Каркасы'!$J$3:$J$18),_xlpm.calc,COILCALC(B9,C9,_xlpm.wire,_xlpm.core,_xlpm.height),INDEX(_xlpm.calc,4)))</f>
        <v>10.513999999999999</v>
      </c>
      <c r="H9" s="65">
        <f>'Сквозной расчёт фильтров'!D2</f>
        <v>120</v>
      </c>
      <c r="I9" s="149">
        <f>'Сквозной расчёт фильтров'!M37</f>
        <v>8</v>
      </c>
      <c r="J9" s="63">
        <f>IF(OR(B9=0,B9="",H9=0,I9=0,E9=""),"",(H9/I9)*E9)</f>
        <v>1.7534779371428573</v>
      </c>
      <c r="K9" s="64">
        <f>IF(OR(B9=0,B9="",J9=""),"",IF(J9=0,25,_xlfn.LET(_xlpm.core,_xlfn.XLOOKUP(D9,'DATA_Провода,Каркасы'!$H$3:$H$18,'DATA_Провода,Каркасы'!$I$3:$I$18),_xlpm.height,_xlfn.XLOOKUP(D9,'DATA_Провода,Каркасы'!$H$3:$H$18,'DATA_Провода,Каркасы'!$J$3:$J$18),25+J9/((((_xlpm.core+2*G9)*PI()*_xlpm.height)+(2*PI()*(((_xlpm.core/2+G9)^2)-((_xlpm.core/2)^2))))/1000000*10))))</f>
        <v>53.806840862307851</v>
      </c>
      <c r="L9" s="151" cm="1">
        <f t="array" ref="L9">IF(OR(B9=0,B9=""),"",IF(K9="","",CalcRealTemp(K9,0,'Сквозной расчёт фильтров'!M36)))</f>
        <v>51.166213783262961</v>
      </c>
      <c r="M9" s="63" cm="1">
        <f t="array" ref="M9">IF(OR(B9=0,B9=""),"",_xlfn.LET(_xlpm.wire,_xlfn.XLOOKUP(C9,'DATA_Провода,Каркасы'!$A$3:$A$11,'DATA_Провода,Каркасы'!$B$3:$B$11),_xlpm.core,_xlfn.XLOOKUP(D9,'DATA_Провода,Каркасы'!$H$3:$H$18,'DATA_Провода,Каркасы'!$I$3:$I$18),_xlpm.height,_xlfn.XLOOKUP(D9,'DATA_Провода,Каркасы'!$H$3:$H$18,'DATA_Провода,Каркасы'!$J$3:$J$18),_xlpm.calc,COILCALC(B9,C9,_xlpm.wire,_xlpm.core,_xlpm.height),INDEX(_xlpm.calc,2)))</f>
        <v>10.438010706591154</v>
      </c>
      <c r="N9" s="154">
        <f>IF(OR(B9=0,B9="",M9=""),0,_xlfn.LET(_xlpm.massPerM,_xlfn.XLOOKUP(C9,'DATA_Провода,Каркасы'!$A$3:$A$11,'DATA_Провода,Каркасы'!$D$3:$D$11),_xlpm.price,_xlfn.XLOOKUP(C9,'DATA_Провода,Каркасы'!$A$3:$A$11,'DATA_Провода,Каркасы'!$F$3:$F$11),(M9*_xlpm.massPerM/1000)*_xlpm.price))</f>
        <v>357.11044129924983</v>
      </c>
    </row>
    <row r="10" spans="1:14" ht="18.75" customHeight="1" x14ac:dyDescent="0.25">
      <c r="A10" s="143" t="s">
        <v>165</v>
      </c>
      <c r="B10" s="74">
        <f>'Сквозной расчёт фильтров'!K41</f>
        <v>0.70361933084956774</v>
      </c>
      <c r="C10" s="78">
        <f>'Сквозной расчёт фильтров'!K43</f>
        <v>2</v>
      </c>
      <c r="D10" s="145" t="str">
        <f>'Сквозной расчёт фильтров'!K44</f>
        <v>50/25</v>
      </c>
      <c r="E10" s="63" cm="1">
        <f t="array" ref="E10">IF(OR(B10=0,B10=""),"",_xlfn.LET(_xlpm.wire,_xlfn.XLOOKUP(C10,'DATA_Провода,Каркасы'!$A$3:$A$11,'DATA_Провода,Каркасы'!$B$3:$B$11),_xlpm.core,_xlfn.XLOOKUP(D10,'DATA_Провода,Каркасы'!$H$3:$H$18,'DATA_Провода,Каркасы'!$I$3:$I$18),_xlpm.height,_xlfn.XLOOKUP(D10,'DATA_Провода,Каркасы'!$H$3:$H$18,'DATA_Провода,Каркасы'!$J$3:$J$18),_xlpm.calc,COILCALC(B10,C10,_xlpm.wire,_xlpm.core,_xlpm.height),INDEX(_xlpm.calc,3)))</f>
        <v>0.13241975040000001</v>
      </c>
      <c r="F10" s="64" cm="1">
        <f t="array" ref="F10">IF(OR(B10=0,B10=""),"",_xlfn.LET(_xlpm.wire,_xlfn.XLOOKUP(C10,'DATA_Провода,Каркасы'!$A$3:$A$11,'DATA_Провода,Каркасы'!$B$3:$B$11),_xlpm.core,_xlfn.XLOOKUP(D10,'DATA_Провода,Каркасы'!$H$3:$H$18,'DATA_Провода,Каркасы'!$I$3:$I$18),_xlpm.height,_xlfn.XLOOKUP(D10,'DATA_Провода,Каркасы'!$H$3:$H$18,'DATA_Провода,Каркасы'!$J$3:$J$18),_xlpm.calc,COILCALC(B10,C10,_xlpm.wire,_xlpm.core,_xlpm.height),INDEX(_xlpm.calc,1)))</f>
        <v>108</v>
      </c>
      <c r="G10" s="147" cm="1">
        <f t="array" ref="G10">IF(OR(B10=0,B10=""),"",_xlfn.LET(_xlpm.wire,_xlfn.XLOOKUP(C10,'DATA_Провода,Каркасы'!$A$3:$A$11,'DATA_Провода,Каркасы'!$B$3:$B$11),_xlpm.core,_xlfn.XLOOKUP(D10,'DATA_Провода,Каркасы'!$H$3:$H$18,'DATA_Провода,Каркасы'!$I$3:$I$18),_xlpm.height,_xlfn.XLOOKUP(D10,'DATA_Провода,Каркасы'!$H$3:$H$18,'DATA_Провода,Каркасы'!$J$3:$J$18),_xlpm.calc,COILCALC(B10,C10,_xlpm.wire,_xlpm.core,_xlpm.height),INDEX(_xlpm.calc,4)))</f>
        <v>21.12</v>
      </c>
      <c r="H10" s="65">
        <f>'Сквозной расчёт фильтров'!D2</f>
        <v>120</v>
      </c>
      <c r="I10" s="149">
        <f>'Сквозной расчёт фильтров'!J37</f>
        <v>6.7</v>
      </c>
      <c r="J10" s="63">
        <f>IF(OR(H10=0, I10=0), 0, (H10/I10)*E10)</f>
        <v>2.3716970220895521</v>
      </c>
      <c r="K10" s="64">
        <f>IF(OR(B10=0,B10="",J10=""),"",IF(J10=0,25,_xlfn.LET(_xlpm.core,_xlfn.XLOOKUP(D10,'DATA_Провода,Каркасы'!$H$3:$H$18,'DATA_Провода,Каркасы'!$I$3:$I$18),_xlpm.height,_xlfn.XLOOKUP(D10,'DATA_Провода,Каркасы'!$H$3:$H$18,'DATA_Провода,Каркасы'!$J$3:$J$18),25+J10/((((_xlpm.core+2*G10)*PI()*_xlpm.height)+(2*PI()*(((_xlpm.core/2+G10)^2)-((_xlpm.core/2)^2))))/1000000*10))))</f>
        <v>39.216932978167236</v>
      </c>
      <c r="L10" s="151" cm="1">
        <f t="array" ref="L10">IF(OR(B10=0,B10=""),"",IF(K10="","",CalcRealTemp(K10,0,'Сквозной расчёт фильтров'!J36)))</f>
        <v>34.951853084717065</v>
      </c>
      <c r="M10" s="63" cm="1">
        <f t="array" ref="M10">IF(OR(B10=0,B10=""),"",_xlfn.LET(_xlpm.wire,_xlfn.XLOOKUP(C10,'DATA_Провода,Каркасы'!$A$3:$A$11,'DATA_Провода,Каркасы'!$B$3:$B$11),_xlpm.core,_xlfn.XLOOKUP(D10,'DATA_Провода,Каркасы'!$H$3:$H$18,'DATA_Провода,Каркасы'!$I$3:$I$18),_xlpm.height,_xlfn.XLOOKUP(D10,'DATA_Провода,Каркасы'!$H$3:$H$18,'DATA_Провода,Каркасы'!$J$3:$J$18),_xlpm.calc,COILCALC(B10,C10,_xlpm.wire,_xlpm.core,_xlpm.height),INDEX(_xlpm.calc,2)))</f>
        <v>24.13044750851865</v>
      </c>
      <c r="N10" s="154">
        <f>IF(OR(B10=0,B10="",M10=""),0,_xlfn.LET(_xlpm.massPerM,_xlfn.XLOOKUP(C10,'DATA_Провода,Каркасы'!$A$3:$A$11,'DATA_Провода,Каркасы'!$D$3:$D$11),_xlpm.price,_xlfn.XLOOKUP(C10,'DATA_Провода,Каркасы'!$A$3:$A$11,'DATA_Провода,Каркасы'!$F$3:$F$11),(M10*_xlpm.massPerM/1000)*_xlpm.price))</f>
        <v>1684.8481711635432</v>
      </c>
    </row>
    <row r="11" spans="1:14" ht="18.75" customHeight="1" x14ac:dyDescent="0.25">
      <c r="A11" s="143" t="s">
        <v>166</v>
      </c>
      <c r="B11" s="74">
        <f>'Сквозной расчёт фильтров'!K42</f>
        <v>3.1662869888230554</v>
      </c>
      <c r="C11" s="78">
        <f>'Сквозной расчёт фильтров'!K47</f>
        <v>1.4</v>
      </c>
      <c r="D11" s="145" t="str">
        <f>'Сквозной расчёт фильтров'!K48</f>
        <v>60/30</v>
      </c>
      <c r="E11" s="63" cm="1">
        <f t="array" ref="E11">IF(OR(B11=0,B11=""),"",_xlfn.LET(_xlpm.wire,_xlfn.XLOOKUP(C11,'DATA_Провода,Каркасы'!$A$3:$A$11,'DATA_Провода,Каркасы'!$B$3:$B$11),_xlpm.core,_xlfn.XLOOKUP(D11,'DATA_Провода,Каркасы'!$H$3:$H$18,'DATA_Провода,Каркасы'!$I$3:$I$18),_xlpm.height,_xlfn.XLOOKUP(D11,'DATA_Провода,Каркасы'!$H$3:$H$18,'DATA_Провода,Каркасы'!$J$3:$J$18),_xlpm.calc,COILCALC(B11,C11,_xlpm.wire,_xlpm.core,_xlpm.height),INDEX(_xlpm.calc,3)))</f>
        <v>0.58472140995918376</v>
      </c>
      <c r="F11" s="64" cm="1">
        <f t="array" ref="F11">IF(OR(B11=0,B11=""),"",_xlfn.LET(_xlpm.wire,_xlfn.XLOOKUP(C11,'DATA_Провода,Каркасы'!$A$3:$A$11,'DATA_Провода,Каркасы'!$B$3:$B$11),_xlpm.core,_xlfn.XLOOKUP(D11,'DATA_Провода,Каркасы'!$H$3:$H$18,'DATA_Провода,Каркасы'!$I$3:$I$18),_xlpm.height,_xlfn.XLOOKUP(D11,'DATA_Провода,Каркасы'!$H$3:$H$18,'DATA_Провода,Каркасы'!$J$3:$J$18),_xlpm.calc,COILCALC(B11,C11,_xlpm.wire,_xlpm.core,_xlpm.height),INDEX(_xlpm.calc,1)))</f>
        <v>213</v>
      </c>
      <c r="G11" s="147" cm="1">
        <f t="array" ref="G11">IF(OR(B11=0,B11=""),"",_xlfn.LET(_xlpm.wire,_xlfn.XLOOKUP(C11,'DATA_Провода,Каркасы'!$A$3:$A$11,'DATA_Провода,Каркасы'!$B$3:$B$11),_xlpm.core,_xlfn.XLOOKUP(D11,'DATA_Провода,Каркасы'!$H$3:$H$18,'DATA_Провода,Каркасы'!$I$3:$I$18),_xlpm.height,_xlfn.XLOOKUP(D11,'DATA_Провода,Каркасы'!$H$3:$H$18,'DATA_Провода,Каркасы'!$J$3:$J$18),_xlpm.calc,COILCALC(B11,C11,_xlpm.wire,_xlpm.core,_xlpm.height),INDEX(_xlpm.calc,4)))</f>
        <v>18.024000000000001</v>
      </c>
      <c r="H11" s="65">
        <f>'Сквозной расчёт фильтров'!D2</f>
        <v>120</v>
      </c>
      <c r="I11" s="149">
        <f>'Сквозной расчёт фильтров'!J37</f>
        <v>6.7</v>
      </c>
      <c r="J11" s="63">
        <f>IF(OR(B11=0,B11="",H11=0,I11=0,E11=""),"",(H11/I11)*E11)</f>
        <v>10.472622267925678</v>
      </c>
      <c r="K11" s="64">
        <f>IF(OR(B11=0,B11="",J11=""),"",IF(J11=0,25,_xlfn.LET(_xlpm.core,_xlfn.XLOOKUP(D11,'DATA_Провода,Каркасы'!$H$3:$H$18,'DATA_Провода,Каркасы'!$I$3:$I$18),_xlpm.height,_xlfn.XLOOKUP(D11,'DATA_Провода,Каркасы'!$H$3:$H$18,'DATA_Провода,Каркасы'!$J$3:$J$18),25+J11/((((_xlpm.core+2*G11)*PI()*_xlpm.height)+(2*PI()*(((_xlpm.core/2+G11)^2)-((_xlpm.core/2)^2))))/1000000*10))))</f>
        <v>83.544264602604784</v>
      </c>
      <c r="L11" s="151" cm="1">
        <f t="array" ref="L11">IF(OR(B11=0,B11=""),"",IF(K11="","",CalcRealTemp(K11,0,'Сквозной расчёт фильтров'!J36)))</f>
        <v>65.980985221823346</v>
      </c>
      <c r="M11" s="63" cm="1">
        <f t="array" ref="M11">IF(OR(B11=0,B11=""),"",_xlfn.LET(_xlpm.wire,_xlfn.XLOOKUP(C11,'DATA_Провода,Каркасы'!$A$3:$A$11,'DATA_Провода,Каркасы'!$B$3:$B$11),_xlpm.core,_xlfn.XLOOKUP(D11,'DATA_Провода,Каркасы'!$H$3:$H$18,'DATA_Провода,Каркасы'!$I$3:$I$18),_xlpm.height,_xlfn.XLOOKUP(D11,'DATA_Провода,Каркасы'!$H$3:$H$18,'DATA_Провода,Каркасы'!$J$3:$J$18),_xlpm.calc,COILCALC(B11,C11,_xlpm.wire,_xlpm.core,_xlpm.height),INDEX(_xlpm.calc,2)))</f>
        <v>52.210480168389417</v>
      </c>
      <c r="N11" s="154">
        <f>IF(OR(B11=0,B11="",M11=""),0,_xlfn.LET(_xlpm.massPerM,_xlfn.XLOOKUP(C11,'DATA_Провода,Каркасы'!$A$3:$A$11,'DATA_Провода,Каркасы'!$D$3:$D$11),_xlpm.price,_xlfn.XLOOKUP(C11,'DATA_Провода,Каркасы'!$A$3:$A$11,'DATA_Провода,Каркасы'!$F$3:$F$11),(M11*_xlpm.massPerM/1000)*_xlpm.price))</f>
        <v>1786.2510527610229</v>
      </c>
    </row>
    <row r="12" spans="1:14" ht="18.75" customHeight="1" x14ac:dyDescent="0.25">
      <c r="A12" s="143" t="s">
        <v>167</v>
      </c>
      <c r="B12" s="74">
        <f>'Сквозной расчёт фильтров'!H41</f>
        <v>0.12539440068604457</v>
      </c>
      <c r="C12" s="78">
        <f>'Сквозной расчёт фильтров'!H43</f>
        <v>1.4</v>
      </c>
      <c r="D12" s="145" t="str">
        <f>'Сквозной расчёт фильтров'!H44</f>
        <v>30/15</v>
      </c>
      <c r="E12" s="63" cm="1">
        <f t="array" ref="E12">IF(OR(B12=0,B12=""),"",_xlfn.LET(_xlpm.wire,_xlfn.XLOOKUP(C12,'DATA_Провода,Каркасы'!$A$3:$A$11,'DATA_Провода,Каркасы'!$B$3:$B$11),_xlpm.core,_xlfn.XLOOKUP(D12,'DATA_Провода,Каркасы'!$H$3:$H$18,'DATA_Провода,Каркасы'!$I$3:$I$18),_xlpm.height,_xlfn.XLOOKUP(D12,'DATA_Провода,Каркасы'!$H$3:$H$18,'DATA_Провода,Каркасы'!$J$3:$J$18),_xlpm.calc,COILCALC(B12,C12,_xlpm.wire,_xlpm.core,_xlpm.height),INDEX(_xlpm.calc,3)))</f>
        <v>8.5525880816326519E-2</v>
      </c>
      <c r="F12" s="64" cm="1">
        <f t="array" ref="F12">IF(OR(B12=0,B12=""),"",_xlfn.LET(_xlpm.wire,_xlfn.XLOOKUP(C12,'DATA_Провода,Каркасы'!$A$3:$A$11,'DATA_Провода,Каркасы'!$B$3:$B$11),_xlpm.core,_xlfn.XLOOKUP(D12,'DATA_Провода,Каркасы'!$H$3:$H$18,'DATA_Провода,Каркасы'!$I$3:$I$18),_xlpm.height,_xlfn.XLOOKUP(D12,'DATA_Провода,Каркасы'!$H$3:$H$18,'DATA_Провода,Каркасы'!$J$3:$J$18),_xlpm.calc,COILCALC(B12,C12,_xlpm.wire,_xlpm.core,_xlpm.height),INDEX(_xlpm.calc,1)))</f>
        <v>60</v>
      </c>
      <c r="G12" s="147" cm="1">
        <f t="array" ref="G12">IF(OR(B12=0,B12=""),"",_xlfn.LET(_xlpm.wire,_xlfn.XLOOKUP(C12,'DATA_Провода,Каркасы'!$A$3:$A$11,'DATA_Провода,Каркасы'!$B$3:$B$11),_xlpm.core,_xlfn.XLOOKUP(D12,'DATA_Провода,Каркасы'!$H$3:$H$18,'DATA_Провода,Каркасы'!$I$3:$I$18),_xlpm.height,_xlfn.XLOOKUP(D12,'DATA_Провода,Каркасы'!$H$3:$H$18,'DATA_Провода,Каркасы'!$J$3:$J$18),_xlpm.calc,COILCALC(B12,C12,_xlpm.wire,_xlpm.core,_xlpm.height),INDEX(_xlpm.calc,4)))</f>
        <v>10.513999999999999</v>
      </c>
      <c r="H12" s="65">
        <f>'Сквозной расчёт фильтров'!D2</f>
        <v>120</v>
      </c>
      <c r="I12" s="149">
        <f>'Сквозной расчёт фильтров'!G37</f>
        <v>8</v>
      </c>
      <c r="J12" s="63">
        <f>IF(OR(H12=0, I12=0), 0, (H12/I12) * E12 * 0.15)</f>
        <v>0.19243323183673464</v>
      </c>
      <c r="K12" s="64">
        <f>IF(OR(B12=0,B12="",J12=""),"",IF(J12=0,25,_xlfn.LET(_xlpm.core,_xlfn.XLOOKUP(D12,'DATA_Провода,Каркасы'!$H$3:$H$18,'DATA_Провода,Каркасы'!$I$3:$I$18),_xlpm.height,_xlfn.XLOOKUP(D12,'DATA_Провода,Каркасы'!$H$3:$H$18,'DATA_Провода,Каркасы'!$J$3:$J$18),25+J12/((((_xlpm.core+2*G12)*PI()*_xlpm.height)+(2*PI()*(((_xlpm.core/2+G12)^2)-((_xlpm.core/2)^2))))/1000000*10))))</f>
        <v>28.787273071585062</v>
      </c>
      <c r="L12" s="151" cm="1">
        <f t="array" ref="L12">IF(OR(B12=0,B12=""),"",IF(K12="","",CalcRealTemp(K12,0,'Сквозной расчёт фильтров'!G36)))</f>
        <v>28.515851834788133</v>
      </c>
      <c r="M12" s="63" cm="1">
        <f t="array" ref="M12">IF(OR(B12=0,B12=""),"",_xlfn.LET(_xlpm.wire,_xlfn.XLOOKUP(C12,'DATA_Провода,Каркасы'!$A$3:$A$11,'DATA_Провода,Каркасы'!$B$3:$B$11),_xlpm.core,_xlfn.XLOOKUP(D12,'DATA_Провода,Каркасы'!$H$3:$H$18,'DATA_Провода,Каркасы'!$I$3:$I$18),_xlpm.height,_xlfn.XLOOKUP(D12,'DATA_Провода,Каркасы'!$H$3:$H$18,'DATA_Провода,Каркасы'!$J$3:$J$18),_xlpm.calc,COILCALC(B12,C12,_xlpm.wire,_xlpm.core,_xlpm.height),INDEX(_xlpm.calc,2)))</f>
        <v>7.6367090860527149</v>
      </c>
      <c r="N12" s="154">
        <f>IF(OR(B12=0,B12="",M12=""),0,_xlfn.LET(_xlpm.massPerM,_xlfn.XLOOKUP(C12,'DATA_Провода,Каркасы'!$A$3:$A$11,'DATA_Провода,Каркасы'!$D$3:$D$11),_xlpm.price,_xlfn.XLOOKUP(C12,'DATA_Провода,Каркасы'!$A$3:$A$11,'DATA_Провода,Каркасы'!$F$3:$F$11),(M12*_xlpm.massPerM/1000)*_xlpm.price))</f>
        <v>261.27090960657853</v>
      </c>
    </row>
    <row r="13" spans="1:14" ht="18.75" customHeight="1" x14ac:dyDescent="0.25">
      <c r="A13" s="143" t="s">
        <v>168</v>
      </c>
      <c r="B13" s="74">
        <f>'Сквозной расчёт фильтров'!H42</f>
        <v>0.56427480308720068</v>
      </c>
      <c r="C13" s="78">
        <f>'Сквозной расчёт фильтров'!H47</f>
        <v>1.4</v>
      </c>
      <c r="D13" s="145" t="str">
        <f>'Сквозной расчёт фильтров'!H48</f>
        <v>40/20</v>
      </c>
      <c r="E13" s="63" cm="1">
        <f t="array" ref="E13">IF(OR(B13=0,B13=""),"",_xlfn.LET(_xlpm.wire,_xlfn.XLOOKUP(C13,'DATA_Провода,Каркасы'!$A$3:$A$11,'DATA_Провода,Каркасы'!$B$3:$B$11),_xlpm.core,_xlfn.XLOOKUP(D13,'DATA_Провода,Каркасы'!$H$3:$H$18,'DATA_Провода,Каркасы'!$I$3:$I$18),_xlpm.height,_xlfn.XLOOKUP(D13,'DATA_Провода,Каркасы'!$H$3:$H$18,'DATA_Провода,Каркасы'!$J$3:$J$18),_xlpm.calc,COILCALC(B13,C13,_xlpm.wire,_xlpm.core,_xlpm.height),INDEX(_xlpm.calc,3)))</f>
        <v>0.20712558204081633</v>
      </c>
      <c r="F13" s="64" cm="1">
        <f t="array" ref="F13">IF(OR(B13=0,B13=""),"",_xlfn.LET(_xlpm.wire,_xlfn.XLOOKUP(C13,'DATA_Провода,Каркасы'!$A$3:$A$11,'DATA_Провода,Каркасы'!$B$3:$B$11),_xlpm.core,_xlfn.XLOOKUP(D13,'DATA_Провода,Каркасы'!$H$3:$H$18,'DATA_Провода,Каркасы'!$I$3:$I$18),_xlpm.height,_xlfn.XLOOKUP(D13,'DATA_Провода,Каркасы'!$H$3:$H$18,'DATA_Провода,Каркасы'!$J$3:$J$18),_xlpm.calc,COILCALC(B13,C13,_xlpm.wire,_xlpm.core,_xlpm.height),INDEX(_xlpm.calc,1)))</f>
        <v>110</v>
      </c>
      <c r="G13" s="147" cm="1">
        <f t="array" ref="G13">IF(OR(B13=0,B13=""),"",_xlfn.LET(_xlpm.wire,_xlfn.XLOOKUP(C13,'DATA_Провода,Каркасы'!$A$3:$A$11,'DATA_Провода,Каркасы'!$B$3:$B$11),_xlpm.core,_xlfn.XLOOKUP(D13,'DATA_Провода,Каркасы'!$H$3:$H$18,'DATA_Провода,Каркасы'!$I$3:$I$18),_xlpm.height,_xlfn.XLOOKUP(D13,'DATA_Провода,Каркасы'!$H$3:$H$18,'DATA_Провода,Каркасы'!$J$3:$J$18),_xlpm.calc,COILCALC(B13,C13,_xlpm.wire,_xlpm.core,_xlpm.height),INDEX(_xlpm.calc,4)))</f>
        <v>13.518000000000001</v>
      </c>
      <c r="H13" s="65">
        <f>'Сквозной расчёт фильтров'!D2</f>
        <v>120</v>
      </c>
      <c r="I13" s="149">
        <f>'Сквозной расчёт фильтров'!G37</f>
        <v>8</v>
      </c>
      <c r="J13" s="63">
        <f>IF(OR(H13=0, I13=0), 0, (H13/I13) * E13 * 0.15)</f>
        <v>0.4660325595918367</v>
      </c>
      <c r="K13" s="64">
        <f>IF(OR(B13=0,B13="",J13=""),"",IF(J13=0,25,_xlfn.LET(_xlpm.core,_xlfn.XLOOKUP(D13,'DATA_Провода,Каркасы'!$H$3:$H$18,'DATA_Провода,Каркасы'!$I$3:$I$18),_xlpm.height,_xlfn.XLOOKUP(D13,'DATA_Провода,Каркасы'!$H$3:$H$18,'DATA_Провода,Каркасы'!$J$3:$J$18),25+J13/((((_xlpm.core+2*G13)*PI()*_xlpm.height)+(2*PI()*(((_xlpm.core/2+G13)^2)-((_xlpm.core/2)^2))))/1000000*10))))</f>
        <v>30.321460527019131</v>
      </c>
      <c r="L13" s="151" cm="1">
        <f t="array" ref="L13">IF(OR(B13=0,B13=""),"",IF(K13="","",CalcRealTemp(K13,0,'Сквозной расчёт фильтров'!G36)))</f>
        <v>29.940089189249427</v>
      </c>
      <c r="M13" s="63" cm="1">
        <f t="array" ref="M13">IF(OR(B13=0,B13=""),"",_xlfn.LET(_xlpm.wire,_xlfn.XLOOKUP(C13,'DATA_Провода,Каркасы'!$A$3:$A$11,'DATA_Провода,Каркасы'!$B$3:$B$11),_xlpm.core,_xlfn.XLOOKUP(D13,'DATA_Провода,Каркасы'!$H$3:$H$18,'DATA_Провода,Каркасы'!$I$3:$I$18),_xlpm.height,_xlfn.XLOOKUP(D13,'DATA_Провода,Каркасы'!$H$3:$H$18,'DATA_Провода,Каркасы'!$J$3:$J$18),_xlpm.calc,COILCALC(B13,C13,_xlpm.wire,_xlpm.core,_xlpm.height),INDEX(_xlpm.calc,2)))</f>
        <v>18.494493119831258</v>
      </c>
      <c r="N13" s="154">
        <f>IF(OR(B13=0,B13="",M13=""),0,_xlfn.LET(_xlpm.massPerM,_xlfn.XLOOKUP(C13,'DATA_Провода,Каркасы'!$A$3:$A$11,'DATA_Провода,Каркасы'!$D$3:$D$11),_xlpm.price,_xlfn.XLOOKUP(C13,'DATA_Провода,Каркасы'!$A$3:$A$11,'DATA_Провода,Каркасы'!$F$3:$F$11),(M13*_xlpm.massPerM/1000)*_xlpm.price))</f>
        <v>632.742845862227</v>
      </c>
    </row>
  </sheetData>
  <conditionalFormatting sqref="K2:L13">
    <cfRule type="cellIs" priority="1" stopIfTrue="1" operator="equal">
      <formula>""</formula>
    </cfRule>
  </conditionalFormatting>
  <conditionalFormatting sqref="L2:L13">
    <cfRule type="cellIs" dxfId="6" priority="2" operator="greaterThan">
      <formula>80</formula>
    </cfRule>
  </conditionalFormatting>
  <conditionalFormatting sqref="L2:L13">
    <cfRule type="cellIs" dxfId="5" priority="3" operator="between">
      <formula>40</formula>
      <formula>80</formula>
    </cfRule>
  </conditionalFormatting>
  <conditionalFormatting sqref="L2:L13">
    <cfRule type="cellIs" dxfId="4" priority="4" operator="lessThan">
      <formula>40</formula>
    </cfRule>
  </conditionalFormatting>
  <conditionalFormatting sqref="K2:K13">
    <cfRule type="cellIs" dxfId="3" priority="6" operator="greaterThan">
      <formula>80</formula>
    </cfRule>
  </conditionalFormatting>
  <conditionalFormatting sqref="K2:K13">
    <cfRule type="cellIs" dxfId="2" priority="7" operator="between">
      <formula>40</formula>
      <formula>80</formula>
    </cfRule>
  </conditionalFormatting>
  <conditionalFormatting sqref="K2:K13">
    <cfRule type="cellIs" dxfId="1" priority="8" operator="lessThan">
      <formula>40</formula>
    </cfRule>
  </conditionalFormatting>
  <pageMargins left="0.7" right="0.7" top="0.75" bottom="0.75" header="0.511811023622047" footer="0.511811023622047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11F228C4-D701-4377-AC92-3796070A2738}">
            <xm:f>IFERROR(AND(ISNUMBER(G2),G2&gt;(VLOOKUP(D2,'DATA_Провода,Каркасы'!H:K,4,0)-VLOOKUP(D2,'DATA_Провода,Каркасы'!H:K,2,0))/2),FALSE)</xm:f>
            <x14:dxf>
              <font>
                <color rgb="FFCC0000"/>
              </font>
              <fill>
                <patternFill patternType="solid">
                  <fgColor indexed="64"/>
                  <bgColor rgb="FFFFCCCC"/>
                </patternFill>
              </fill>
            </x14:dxf>
          </x14:cfRule>
          <xm:sqref>G2:G13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941D660-27A7-4019-89F8-A048C995F9CD}">
          <x14:formula1>
            <xm:f>'DATA_Провода,Каркасы'!$A$3:$A$10</xm:f>
          </x14:formula1>
          <xm:sqref>C3:C4 C6:C13</xm:sqref>
        </x14:dataValidation>
        <x14:dataValidation type="list" allowBlank="1" showInputMessage="1" showErrorMessage="1" xr:uid="{56EDDE1D-02E2-40CB-9448-BA9F56E42EF5}">
          <x14:formula1>
            <xm:f>'DATA_Провода,Каркасы'!$H$3:$H$12</xm:f>
          </x14:formula1>
          <xm:sqref>D3:D4 D6:D13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>
    <tabColor theme="0" tint="-0.249977111117893"/>
  </sheetPr>
  <dimension ref="A1:M18"/>
  <sheetViews>
    <sheetView zoomScaleNormal="100" workbookViewId="0">
      <selection activeCell="C15" sqref="C15:D15"/>
    </sheetView>
  </sheetViews>
  <sheetFormatPr defaultColWidth="9.140625" defaultRowHeight="14.25" x14ac:dyDescent="0.2"/>
  <cols>
    <col min="1" max="6" width="12.85546875" style="18" customWidth="1"/>
    <col min="7" max="7" width="2.85546875" style="18" customWidth="1"/>
    <col min="8" max="8" width="12.85546875" style="18" customWidth="1"/>
    <col min="9" max="9" width="10.28515625" style="18" bestFit="1" customWidth="1"/>
    <col min="10" max="10" width="9.7109375" style="18" bestFit="1" customWidth="1"/>
    <col min="11" max="11" width="9.7109375" style="18" customWidth="1"/>
    <col min="12" max="12" width="9.140625" style="18" customWidth="1"/>
    <col min="13" max="13" width="7.140625" style="18" customWidth="1"/>
    <col min="14" max="14" width="16.42578125" style="18" bestFit="1" customWidth="1"/>
    <col min="15" max="15" width="7.140625" style="18" customWidth="1"/>
    <col min="16" max="16" width="9.140625" style="18" customWidth="1"/>
    <col min="17" max="16384" width="9.140625" style="18"/>
  </cols>
  <sheetData>
    <row r="1" spans="1:13" s="87" customFormat="1" ht="37.5" customHeight="1" thickBot="1" x14ac:dyDescent="0.25">
      <c r="A1" s="517" t="s">
        <v>21</v>
      </c>
      <c r="B1" s="518"/>
      <c r="C1" s="518"/>
      <c r="D1" s="518"/>
      <c r="E1" s="518"/>
      <c r="F1" s="518"/>
      <c r="H1" s="520" t="s">
        <v>0</v>
      </c>
      <c r="I1" s="518"/>
      <c r="J1" s="518"/>
      <c r="K1" s="518"/>
    </row>
    <row r="2" spans="1:13" ht="42.75" x14ac:dyDescent="0.2">
      <c r="A2" s="17" t="s">
        <v>1</v>
      </c>
      <c r="B2" s="17" t="s">
        <v>2</v>
      </c>
      <c r="C2" s="17" t="s">
        <v>91</v>
      </c>
      <c r="D2" s="17" t="s">
        <v>20</v>
      </c>
      <c r="E2" s="17" t="s">
        <v>3</v>
      </c>
      <c r="F2" s="17" t="s">
        <v>4</v>
      </c>
      <c r="G2" s="19"/>
      <c r="H2" s="17" t="s">
        <v>46</v>
      </c>
      <c r="I2" s="17" t="s">
        <v>89</v>
      </c>
      <c r="J2" s="17" t="s">
        <v>45</v>
      </c>
      <c r="K2" s="17" t="s">
        <v>90</v>
      </c>
    </row>
    <row r="3" spans="1:13" ht="18.75" customHeight="1" x14ac:dyDescent="0.2">
      <c r="A3" s="20">
        <v>0.5</v>
      </c>
      <c r="B3" s="21">
        <v>0.56599999999999995</v>
      </c>
      <c r="C3" s="21">
        <v>0.1963</v>
      </c>
      <c r="D3" s="21">
        <v>1.746</v>
      </c>
      <c r="E3" s="22">
        <v>547</v>
      </c>
      <c r="F3" s="22">
        <v>2500</v>
      </c>
      <c r="G3" s="19"/>
      <c r="H3" s="23" t="s">
        <v>174</v>
      </c>
      <c r="I3" s="22">
        <v>20</v>
      </c>
      <c r="J3" s="24">
        <f t="shared" ref="J3:J7" si="0">I3/2</f>
        <v>10</v>
      </c>
      <c r="K3" s="22">
        <f t="shared" ref="K3:K7" si="1">I3+2*J3</f>
        <v>40</v>
      </c>
    </row>
    <row r="4" spans="1:13" ht="18.75" customHeight="1" x14ac:dyDescent="0.2">
      <c r="A4" s="88">
        <v>0.53</v>
      </c>
      <c r="B4" s="89">
        <v>0.6</v>
      </c>
      <c r="C4" s="89">
        <v>0.221</v>
      </c>
      <c r="D4" s="89">
        <v>1.9610000000000001</v>
      </c>
      <c r="E4" s="90">
        <v>509</v>
      </c>
      <c r="F4" s="90">
        <v>2500</v>
      </c>
      <c r="G4" s="19"/>
      <c r="H4" s="23" t="s">
        <v>175</v>
      </c>
      <c r="I4" s="22">
        <v>25</v>
      </c>
      <c r="J4" s="24">
        <f t="shared" si="0"/>
        <v>12.5</v>
      </c>
      <c r="K4" s="22">
        <f t="shared" si="1"/>
        <v>50</v>
      </c>
    </row>
    <row r="5" spans="1:13" ht="18.75" customHeight="1" x14ac:dyDescent="0.2">
      <c r="A5" s="25">
        <v>0.71</v>
      </c>
      <c r="B5" s="26">
        <v>0.78900000000000003</v>
      </c>
      <c r="C5" s="26">
        <v>0.39589999999999997</v>
      </c>
      <c r="D5" s="26">
        <v>3.52</v>
      </c>
      <c r="E5" s="27">
        <v>274</v>
      </c>
      <c r="F5" s="27">
        <v>2500</v>
      </c>
      <c r="G5" s="19"/>
      <c r="H5" s="23" t="s">
        <v>176</v>
      </c>
      <c r="I5" s="22">
        <v>30</v>
      </c>
      <c r="J5" s="24">
        <f t="shared" si="0"/>
        <v>15</v>
      </c>
      <c r="K5" s="22">
        <f t="shared" si="1"/>
        <v>60</v>
      </c>
    </row>
    <row r="6" spans="1:13" ht="18.75" customHeight="1" x14ac:dyDescent="0.2">
      <c r="A6" s="25">
        <v>1</v>
      </c>
      <c r="B6" s="26">
        <v>1.0940000000000001</v>
      </c>
      <c r="C6" s="26">
        <v>0.78500000000000003</v>
      </c>
      <c r="D6" s="26">
        <v>6.9820000000000002</v>
      </c>
      <c r="E6" s="27">
        <v>139</v>
      </c>
      <c r="F6" s="27">
        <v>2500</v>
      </c>
      <c r="G6" s="19"/>
      <c r="H6" s="23" t="s">
        <v>177</v>
      </c>
      <c r="I6" s="22">
        <v>35</v>
      </c>
      <c r="J6" s="24">
        <f t="shared" si="0"/>
        <v>17.5</v>
      </c>
      <c r="K6" s="22">
        <f t="shared" si="1"/>
        <v>70</v>
      </c>
      <c r="M6" s="140"/>
    </row>
    <row r="7" spans="1:13" ht="18.75" customHeight="1" x14ac:dyDescent="0.2">
      <c r="A7" s="25">
        <v>1.1200000000000001</v>
      </c>
      <c r="B7" s="26">
        <v>1.2170000000000001</v>
      </c>
      <c r="C7" s="26">
        <v>0.98499999999999999</v>
      </c>
      <c r="D7" s="26">
        <v>8.7579999999999991</v>
      </c>
      <c r="E7" s="91">
        <v>111</v>
      </c>
      <c r="F7" s="27">
        <v>2500</v>
      </c>
      <c r="G7" s="19"/>
      <c r="H7" s="23" t="s">
        <v>178</v>
      </c>
      <c r="I7" s="22">
        <v>40</v>
      </c>
      <c r="J7" s="24">
        <f t="shared" si="0"/>
        <v>20</v>
      </c>
      <c r="K7" s="22">
        <f t="shared" si="1"/>
        <v>80</v>
      </c>
      <c r="M7" s="140"/>
    </row>
    <row r="8" spans="1:13" ht="18.75" customHeight="1" x14ac:dyDescent="0.2">
      <c r="A8" s="25">
        <v>1.18</v>
      </c>
      <c r="B8" s="26">
        <v>1.2789999999999999</v>
      </c>
      <c r="C8" s="26">
        <v>1.0940000000000001</v>
      </c>
      <c r="D8" s="26">
        <v>9.7219999999999995</v>
      </c>
      <c r="E8" s="27">
        <v>100</v>
      </c>
      <c r="F8" s="27">
        <v>2500</v>
      </c>
      <c r="G8" s="19"/>
      <c r="H8" s="23" t="s">
        <v>179</v>
      </c>
      <c r="I8" s="22">
        <v>50</v>
      </c>
      <c r="J8" s="24">
        <f>I8/2</f>
        <v>25</v>
      </c>
      <c r="K8" s="22">
        <f>I8+2*J8</f>
        <v>100</v>
      </c>
      <c r="M8" s="140"/>
    </row>
    <row r="9" spans="1:13" ht="18.75" customHeight="1" x14ac:dyDescent="0.2">
      <c r="A9" s="25">
        <v>1.4</v>
      </c>
      <c r="B9" s="26">
        <v>1.502</v>
      </c>
      <c r="C9" s="26">
        <v>1.5394000000000001</v>
      </c>
      <c r="D9" s="26">
        <v>13.685</v>
      </c>
      <c r="E9" s="27">
        <v>71</v>
      </c>
      <c r="F9" s="27">
        <v>2500</v>
      </c>
      <c r="G9" s="19"/>
      <c r="H9" s="28" t="s">
        <v>180</v>
      </c>
      <c r="I9" s="27">
        <v>60</v>
      </c>
      <c r="J9" s="29">
        <f>I9/2</f>
        <v>30</v>
      </c>
      <c r="K9" s="27">
        <f>I9+2*J9</f>
        <v>120</v>
      </c>
      <c r="M9" s="519"/>
    </row>
    <row r="10" spans="1:13" ht="18.75" customHeight="1" x14ac:dyDescent="0.2">
      <c r="A10" s="25">
        <v>1.6</v>
      </c>
      <c r="B10" s="26">
        <v>1.706</v>
      </c>
      <c r="C10" s="26">
        <v>2.0106000000000002</v>
      </c>
      <c r="D10" s="26">
        <v>17.873999999999999</v>
      </c>
      <c r="E10" s="27">
        <v>55</v>
      </c>
      <c r="F10" s="27">
        <v>2500</v>
      </c>
      <c r="G10" s="19"/>
      <c r="H10" s="28" t="s">
        <v>181</v>
      </c>
      <c r="I10" s="27">
        <v>70</v>
      </c>
      <c r="J10" s="29">
        <f>I10/2</f>
        <v>35</v>
      </c>
      <c r="K10" s="27">
        <f>I10+2*J10</f>
        <v>140</v>
      </c>
      <c r="M10" s="519"/>
    </row>
    <row r="11" spans="1:13" ht="18.75" customHeight="1" x14ac:dyDescent="0.2">
      <c r="A11" s="25">
        <v>2</v>
      </c>
      <c r="B11" s="26">
        <v>2.1120000000000001</v>
      </c>
      <c r="C11" s="26">
        <v>3.1419999999999999</v>
      </c>
      <c r="D11" s="26">
        <v>27.928999999999998</v>
      </c>
      <c r="E11" s="27">
        <v>35</v>
      </c>
      <c r="F11" s="27">
        <v>2500</v>
      </c>
      <c r="G11" s="19"/>
    </row>
    <row r="12" spans="1:13" ht="18.75" customHeight="1" x14ac:dyDescent="0.2">
      <c r="A12" s="19"/>
      <c r="B12" s="19"/>
      <c r="C12" s="19"/>
      <c r="D12" s="19"/>
      <c r="E12" s="19"/>
      <c r="F12" s="19"/>
      <c r="G12" s="19"/>
      <c r="H12" s="31"/>
      <c r="I12" s="30"/>
      <c r="J12" s="32"/>
      <c r="K12" s="30"/>
    </row>
    <row r="13" spans="1:13" ht="18.75" customHeight="1" x14ac:dyDescent="0.2">
      <c r="A13" s="19"/>
      <c r="B13" s="19"/>
      <c r="C13" s="19"/>
      <c r="D13" s="19"/>
      <c r="E13" s="19"/>
      <c r="F13" s="19"/>
      <c r="G13" s="19"/>
    </row>
    <row r="14" spans="1:13" ht="37.5" customHeight="1" thickBot="1" x14ac:dyDescent="0.25">
      <c r="B14" s="523" t="s">
        <v>212</v>
      </c>
      <c r="C14" s="523"/>
      <c r="D14" s="523"/>
      <c r="E14" s="523"/>
    </row>
    <row r="15" spans="1:13" ht="67.5" customHeight="1" thickBot="1" x14ac:dyDescent="0.25">
      <c r="B15" s="141"/>
      <c r="C15" s="521" t="s">
        <v>6</v>
      </c>
      <c r="D15" s="522"/>
      <c r="E15" s="141"/>
      <c r="F15" s="53" t="s">
        <v>7</v>
      </c>
    </row>
    <row r="16" spans="1:13" ht="22.5" customHeight="1" x14ac:dyDescent="0.2">
      <c r="B16" s="139"/>
      <c r="C16" s="516" t="s">
        <v>8</v>
      </c>
      <c r="D16" s="516"/>
      <c r="E16" s="132" t="s">
        <v>5</v>
      </c>
    </row>
    <row r="17" spans="5:5" x14ac:dyDescent="0.2">
      <c r="E17" s="34"/>
    </row>
    <row r="18" spans="5:5" x14ac:dyDescent="0.2">
      <c r="E18" s="19"/>
    </row>
  </sheetData>
  <mergeCells count="6">
    <mergeCell ref="C16:D16"/>
    <mergeCell ref="A1:F1"/>
    <mergeCell ref="M9:M10"/>
    <mergeCell ref="H1:K1"/>
    <mergeCell ref="C15:D15"/>
    <mergeCell ref="B14:E14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51B1A-00F3-4D32-B3D3-A7E6721F7765}">
  <sheetPr codeName="Лист12">
    <tabColor theme="0" tint="-0.249977111117893"/>
  </sheetPr>
  <dimension ref="A1:O4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bestFit="1" customWidth="1"/>
    <col min="2" max="2" width="6.42578125" bestFit="1" customWidth="1"/>
    <col min="3" max="3" width="18.28515625" bestFit="1" customWidth="1"/>
    <col min="4" max="4" width="12" bestFit="1" customWidth="1"/>
    <col min="5" max="5" width="12.85546875" bestFit="1" customWidth="1"/>
    <col min="6" max="6" width="12" bestFit="1" customWidth="1"/>
    <col min="7" max="7" width="4.85546875" bestFit="1" customWidth="1"/>
    <col min="8" max="8" width="7.28515625" bestFit="1" customWidth="1"/>
    <col min="9" max="9" width="10.140625" bestFit="1" customWidth="1"/>
    <col min="10" max="10" width="10.7109375" bestFit="1" customWidth="1"/>
    <col min="11" max="11" width="7.28515625" bestFit="1" customWidth="1"/>
    <col min="12" max="12" width="7.42578125" bestFit="1" customWidth="1"/>
    <col min="13" max="13" width="48.140625" bestFit="1" customWidth="1"/>
    <col min="14" max="14" width="40.5703125" bestFit="1" customWidth="1"/>
    <col min="15" max="15" width="12" bestFit="1" customWidth="1"/>
  </cols>
  <sheetData>
    <row r="1" spans="1:15" x14ac:dyDescent="0.25">
      <c r="A1" s="501" t="s">
        <v>328</v>
      </c>
      <c r="B1" s="501" t="s">
        <v>221</v>
      </c>
      <c r="C1" s="501" t="s">
        <v>316</v>
      </c>
      <c r="D1" s="501" t="s">
        <v>317</v>
      </c>
      <c r="E1" s="501" t="s">
        <v>318</v>
      </c>
      <c r="F1" s="501" t="s">
        <v>319</v>
      </c>
      <c r="G1" s="501" t="s">
        <v>320</v>
      </c>
      <c r="H1" s="501" t="s">
        <v>321</v>
      </c>
      <c r="I1" s="501" t="s">
        <v>322</v>
      </c>
      <c r="J1" s="501" t="s">
        <v>329</v>
      </c>
      <c r="K1" s="501" t="s">
        <v>323</v>
      </c>
      <c r="L1" s="501" t="s">
        <v>324</v>
      </c>
      <c r="M1" s="501" t="s">
        <v>330</v>
      </c>
      <c r="N1" s="501"/>
      <c r="O1" s="501"/>
    </row>
    <row r="2" spans="1:15" x14ac:dyDescent="0.25">
      <c r="A2" s="500">
        <f>--(AND('Ведомость закупки и СП'!$D$5="Да",ISNUMBER(F2),F2&gt;0))</f>
        <v>1</v>
      </c>
      <c r="B2" s="500" t="s">
        <v>17</v>
      </c>
      <c r="C2" s="500" t="s">
        <v>331</v>
      </c>
      <c r="D2" s="500" t="s">
        <v>71</v>
      </c>
      <c r="E2" s="500" t="s">
        <v>332</v>
      </c>
      <c r="F2" s="500">
        <f>'Сквозной расчёт фильтров'!E39</f>
        <v>10</v>
      </c>
      <c r="G2" s="500" t="s">
        <v>32</v>
      </c>
      <c r="H2" s="500">
        <f>IF(A2=1,'Ведомость закупки и СП'!$C$2,"")</f>
        <v>2</v>
      </c>
      <c r="I2" s="500" t="str">
        <f>IF(OR(F2="",F2=0),"",_xlfn.LET(_xlpm.req,SQRT('Ведомость закупки и СП'!$F$2*'Сквозной расчёт фильтров'!D37)*'Справочные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2" s="500"/>
      <c r="K2" s="500"/>
      <c r="L2" s="500"/>
      <c r="M2" s="500"/>
      <c r="N2" s="500" t="str">
        <f t="shared" ref="N2:N40" si="0">IF(A2=1,E2&amp;"|"&amp;ROUND(F2,9)&amp;"|"&amp;G2&amp;"|"&amp;I2&amp;"|"&amp;IF(ISNUMBER(J2),ROUND(J2,3),"")&amp;"|"&amp;K2&amp;"|"&amp;L2,"")</f>
        <v>Конденсатор|10|мкФ|63 В|||</v>
      </c>
      <c r="O2" s="500"/>
    </row>
    <row r="3" spans="1:15" x14ac:dyDescent="0.25">
      <c r="A3" s="500">
        <f>--(AND('Ведомость закупки и СП'!$D$5="Да",ISNUMBER(F3),F3&gt;0))</f>
        <v>1</v>
      </c>
      <c r="B3" s="500" t="s">
        <v>17</v>
      </c>
      <c r="C3" s="500" t="s">
        <v>331</v>
      </c>
      <c r="D3" s="500" t="s">
        <v>73</v>
      </c>
      <c r="E3" s="500" t="s">
        <v>332</v>
      </c>
      <c r="F3" s="500">
        <f>'Сквозной расчёт фильтров'!E40</f>
        <v>2.2000000000000002</v>
      </c>
      <c r="G3" s="500" t="s">
        <v>32</v>
      </c>
      <c r="H3" s="500">
        <f>IF(A3=1,'Ведомость закупки и СП'!$C$2,"")</f>
        <v>2</v>
      </c>
      <c r="I3" s="500" t="str">
        <f>IF(OR(F3="",F3=0),"",_xlfn.LET(_xlpm.req,SQRT('Ведомость закупки и СП'!$F$2*'Сквозной расчёт фильтров'!D37)*'Справочные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3" s="500"/>
      <c r="K3" s="500"/>
      <c r="L3" s="500"/>
      <c r="M3" s="500"/>
      <c r="N3" s="500" t="str">
        <f t="shared" si="0"/>
        <v>Конденсатор|2,2|мкФ|63 В|||</v>
      </c>
      <c r="O3" s="500"/>
    </row>
    <row r="4" spans="1:15" x14ac:dyDescent="0.25">
      <c r="A4" s="500">
        <f>--(AND('Ведомость закупки и СП'!$D$5="Да",ISNUMBER(F4),F4&gt;0))</f>
        <v>1</v>
      </c>
      <c r="B4" s="500" t="s">
        <v>17</v>
      </c>
      <c r="C4" s="500" t="s">
        <v>331</v>
      </c>
      <c r="D4" s="500" t="s">
        <v>70</v>
      </c>
      <c r="E4" s="500" t="s">
        <v>333</v>
      </c>
      <c r="F4" s="500">
        <f>'DATA_Расчёт катушек'!B6</f>
        <v>0.6978042950574227</v>
      </c>
      <c r="G4" s="500" t="s">
        <v>31</v>
      </c>
      <c r="H4" s="500">
        <f>IF(A4=1,'Ведомость закупки и СП'!$C$2,"")</f>
        <v>2</v>
      </c>
      <c r="I4" s="500"/>
      <c r="J4" s="500">
        <f>IF(OR(F4="",F4=0),"",'DATA_Расчёт катушек'!C6)</f>
        <v>2</v>
      </c>
      <c r="K4" s="500">
        <f>IF(OR(F4="",F4=0),"",'DATA_Расчёт катушек'!F6)</f>
        <v>107</v>
      </c>
      <c r="L4" s="500" t="str">
        <f>IF(OR(F4="",F4=0),"",'DATA_Расчёт катушек'!D6)</f>
        <v>50/25</v>
      </c>
      <c r="M4" s="500" t="str">
        <f>IF(OR(F4="",F4=0),"","h="&amp;ROUND('DATA_Расчёт катушек'!G6,1)&amp;" мм; DCR="&amp;ROUND('DATA_Расчёт катушек'!E6,3)&amp;" Ом; "&amp;ROUND('DATA_Расчёт катушек'!M6,1)&amp;" м/шт; всего "&amp;ROUND('DATA_Расчёт катушек'!M6*'Ведомость закупки и СП'!$C$2,1)&amp;" м")</f>
        <v>h=21,1 мм; DCR=0,131 Ом; 23,9 м/шт; всего 47,8 м</v>
      </c>
      <c r="N4" s="500" t="str">
        <f t="shared" si="0"/>
        <v>Катушка|0,697804295|мГн||2|107|50/25</v>
      </c>
      <c r="O4" s="500">
        <f>IF(A4=1,'DATA_Расчёт катушек'!M6*'Ведомость закупки и СП'!$C$2,"")</f>
        <v>47.814034877990657</v>
      </c>
    </row>
    <row r="5" spans="1:15" x14ac:dyDescent="0.25">
      <c r="A5" s="500">
        <f>--(AND('Ведомость закупки и СП'!$D$5="Да",ISNUMBER(F5),F5&gt;0))</f>
        <v>1</v>
      </c>
      <c r="B5" s="500" t="s">
        <v>17</v>
      </c>
      <c r="C5" s="500" t="s">
        <v>331</v>
      </c>
      <c r="D5" s="500" t="s">
        <v>72</v>
      </c>
      <c r="E5" s="500" t="s">
        <v>333</v>
      </c>
      <c r="F5" s="500">
        <f>'DATA_Расчёт катушек'!B7</f>
        <v>0.35242641164516303</v>
      </c>
      <c r="G5" s="500" t="s">
        <v>31</v>
      </c>
      <c r="H5" s="500">
        <f>IF(A5=1,'Ведомость закупки и СП'!$C$2,"")</f>
        <v>2</v>
      </c>
      <c r="I5" s="500"/>
      <c r="J5" s="500">
        <f>IF(OR(F5="",F5=0),"",'DATA_Расчёт катушек'!C7)</f>
        <v>2</v>
      </c>
      <c r="K5" s="500">
        <f>IF(OR(F5="",F5=0),"",'DATA_Расчёт катушек'!F7)</f>
        <v>78</v>
      </c>
      <c r="L5" s="500" t="str">
        <f>IF(OR(F5="",F5=0),"",'DATA_Расчёт катушек'!D7)</f>
        <v>50/25</v>
      </c>
      <c r="M5" s="500" t="str">
        <f>IF(OR(F5="",F5=0),"","h="&amp;ROUND('DATA_Расчёт катушек'!G7,1)&amp;" мм; DCR="&amp;ROUND('DATA_Расчёт катушек'!E7,3)&amp;" Ом; "&amp;ROUND('DATA_Расчёт катушек'!M7,1)&amp;" м/шт; всего "&amp;ROUND('DATA_Расчёт катушек'!M7*'Ведомость закупки и СП'!$C$2,1)&amp;" м")</f>
        <v>h=16,9 мм; DCR=0,09 Ом; 16,4 м/шт; всего 32,8 м</v>
      </c>
      <c r="N5" s="500" t="str">
        <f t="shared" si="0"/>
        <v>Катушка|0,352426412|мГн||2|78|50/25</v>
      </c>
      <c r="O5" s="500">
        <f>IF(A5=1,'DATA_Расчёт катушек'!M7*'Ведомость закупки и СП'!$C$2,"")</f>
        <v>32.78495721611084</v>
      </c>
    </row>
    <row r="6" spans="1:15" x14ac:dyDescent="0.25">
      <c r="A6" s="500">
        <f>--(AND('Ведомость закупки и СП'!$C$5="Да",ISNUMBER(F6),F6&gt;0))</f>
        <v>0</v>
      </c>
      <c r="B6" s="500" t="s">
        <v>17</v>
      </c>
      <c r="C6" s="500" t="s">
        <v>225</v>
      </c>
      <c r="D6" s="500" t="s">
        <v>334</v>
      </c>
      <c r="E6" s="500" t="s">
        <v>335</v>
      </c>
      <c r="F6" s="500">
        <f>'Сквозной расчёт фильтров'!E56</f>
        <v>2.7</v>
      </c>
      <c r="G6" s="500" t="s">
        <v>24</v>
      </c>
      <c r="H6" s="500" t="str">
        <f>IF(A6=1,'Ведомость закупки и СП'!$C$2,"")</f>
        <v/>
      </c>
      <c r="I6" s="500" t="str">
        <f>IF(OR(F6="",F6=0),"",'Сквозной расчёт фильтров'!E57&amp;" Вт мин.")</f>
        <v>10 Вт мин.</v>
      </c>
      <c r="J6" s="500"/>
      <c r="K6" s="500"/>
      <c r="L6" s="500"/>
      <c r="M6" s="500"/>
      <c r="N6" s="500" t="str">
        <f t="shared" si="0"/>
        <v/>
      </c>
      <c r="O6" s="500"/>
    </row>
    <row r="7" spans="1:15" x14ac:dyDescent="0.25">
      <c r="A7" s="500">
        <f>--(AND('Ведомость закупки и СП'!$C$5="Да",ISNUMBER(F7),F7&gt;0))</f>
        <v>0</v>
      </c>
      <c r="B7" s="500" t="s">
        <v>17</v>
      </c>
      <c r="C7" s="500" t="s">
        <v>225</v>
      </c>
      <c r="D7" s="500" t="s">
        <v>63</v>
      </c>
      <c r="E7" s="500" t="s">
        <v>333</v>
      </c>
      <c r="F7" s="500">
        <f>'DATA_Расчёт катушек'!B5</f>
        <v>1.0573015173208118</v>
      </c>
      <c r="G7" s="500" t="s">
        <v>31</v>
      </c>
      <c r="H7" s="500" t="str">
        <f>IF(A7=1,'Ведомость закупки и СП'!$C$2,"")</f>
        <v/>
      </c>
      <c r="I7" s="500"/>
      <c r="J7" s="500">
        <f>IF(OR(F7="",F7=0),"",'DATA_Расчёт катушек'!C5)</f>
        <v>1.6</v>
      </c>
      <c r="K7" s="500">
        <f>IF(OR(F7="",F7=0),"",'DATA_Расчёт катушек'!F5)</f>
        <v>134</v>
      </c>
      <c r="L7" s="500" t="str">
        <f>IF(OR(F7="",F7=0),"",'DATA_Расчёт катушек'!D5)</f>
        <v>50/25</v>
      </c>
      <c r="M7" s="500" t="str">
        <f>IF(OR(F7="",F7=0),"","h="&amp;ROUND('DATA_Расчёт катушек'!G5,1)&amp;" мм; DCR="&amp;ROUND('DATA_Расчёт катушек'!E5,3)&amp;" Ом; "&amp;ROUND('DATA_Расчёт катушек'!M5,1)&amp;" м/шт; всего "&amp;ROUND('DATA_Расчёт катушек'!M5*'Ведомость закупки и СП'!$C$2,1)&amp;" м")</f>
        <v>h=17,1 мм; DCR=0,242 Ом; 28,2 м/шт; всего 56,5 м</v>
      </c>
      <c r="N7" s="500" t="str">
        <f t="shared" si="0"/>
        <v/>
      </c>
      <c r="O7" s="500" t="str">
        <f>IF(A7=1,'DATA_Расчёт катушек'!M5*'Ведомость закупки и СП'!$C$2,"")</f>
        <v/>
      </c>
    </row>
    <row r="8" spans="1:15" x14ac:dyDescent="0.25">
      <c r="A8" s="500">
        <f>--(AND('Ведомость закупки и СП'!$E$5="Да",ISNUMBER(F8),F8&gt;0))</f>
        <v>0</v>
      </c>
      <c r="B8" s="500" t="s">
        <v>17</v>
      </c>
      <c r="C8" s="500" t="s">
        <v>220</v>
      </c>
      <c r="D8" s="500" t="s">
        <v>336</v>
      </c>
      <c r="E8" s="500" t="s">
        <v>335</v>
      </c>
      <c r="F8" s="500">
        <f>'Сквозной расчёт фильтров'!E31</f>
        <v>1.8</v>
      </c>
      <c r="G8" s="500" t="s">
        <v>24</v>
      </c>
      <c r="H8" s="500" t="str">
        <f>IF(A8=1,'Ведомость закупки и СП'!$C$2,"")</f>
        <v/>
      </c>
      <c r="I8" s="500" t="str">
        <f>IF(OR(F8="",F8=0),"",'Сквозной расчёт фильтров'!E33&amp;" Вт мин.")</f>
        <v>50 Вт мин.</v>
      </c>
      <c r="J8" s="500"/>
      <c r="K8" s="500"/>
      <c r="L8" s="500"/>
      <c r="M8" s="500"/>
      <c r="N8" s="500" t="str">
        <f t="shared" si="0"/>
        <v/>
      </c>
      <c r="O8" s="500"/>
    </row>
    <row r="9" spans="1:15" x14ac:dyDescent="0.25">
      <c r="A9" s="500">
        <f>--(AND('Ведомость закупки и СП'!$E$5="Да",ISNUMBER(F9),F9&gt;0))</f>
        <v>0</v>
      </c>
      <c r="B9" s="500" t="s">
        <v>17</v>
      </c>
      <c r="C9" s="500" t="s">
        <v>220</v>
      </c>
      <c r="D9" s="500" t="s">
        <v>337</v>
      </c>
      <c r="E9" s="500" t="s">
        <v>335</v>
      </c>
      <c r="F9" s="500">
        <f>'Сквозной расчёт фильтров'!E32</f>
        <v>15</v>
      </c>
      <c r="G9" s="500" t="s">
        <v>24</v>
      </c>
      <c r="H9" s="500" t="str">
        <f>IF(A9=1,'Ведомость закупки и СП'!$C$2,"")</f>
        <v/>
      </c>
      <c r="I9" s="500" t="str">
        <f>IF(OR(F9="",F9=0),"",'Сквозной расчёт фильтров'!E34&amp;" Вт мин.")</f>
        <v>50 Вт мин.</v>
      </c>
      <c r="J9" s="500"/>
      <c r="K9" s="500"/>
      <c r="L9" s="500"/>
      <c r="M9" s="500"/>
      <c r="N9" s="500" t="str">
        <f t="shared" si="0"/>
        <v/>
      </c>
      <c r="O9" s="500"/>
    </row>
    <row r="10" spans="1:15" x14ac:dyDescent="0.25">
      <c r="A10" s="500">
        <f>--(AND('Ведомость закупки и СП'!$F$5="Да",ISNUMBER(F10),F10&gt;0))</f>
        <v>1</v>
      </c>
      <c r="B10" s="500" t="s">
        <v>17</v>
      </c>
      <c r="C10" s="500" t="s">
        <v>223</v>
      </c>
      <c r="D10" s="500" t="s">
        <v>338</v>
      </c>
      <c r="E10" s="500" t="s">
        <v>332</v>
      </c>
      <c r="F10" s="500">
        <f>'Сквозной расчёт фильтров'!E13</f>
        <v>5.6</v>
      </c>
      <c r="G10" s="500" t="s">
        <v>32</v>
      </c>
      <c r="H10" s="500">
        <f>IF(A10=1,'Ведомость закупки и СП'!$C$2,"")</f>
        <v>2</v>
      </c>
      <c r="I10" s="500" t="str">
        <f>IF(OR(F10="",F10=0),"",_xlfn.LET(_xlpm.req,SQRT('Ведомость закупки и СП'!$F$2*'Сквозной расчёт фильтров'!D4)*'Справочные таблицы'!$P$15*'Справочные таблицы'!$P$16,_xlfn.XLOOKUP(_xlpm.req,'Справочные таблицы'!$G$3:$G$7,'Справочные таблицы'!$G$3:$G$7,630,1)&amp;" В"))</f>
        <v>63 В</v>
      </c>
      <c r="J10" s="500"/>
      <c r="K10" s="500"/>
      <c r="L10" s="500"/>
      <c r="M10" s="500"/>
      <c r="N10" s="500" t="str">
        <f t="shared" si="0"/>
        <v>Конденсатор|5,6|мкФ|63 В|||</v>
      </c>
      <c r="O10" s="500"/>
    </row>
    <row r="11" spans="1:15" x14ac:dyDescent="0.25">
      <c r="A11" s="500">
        <f>--(AND('Ведомость закупки и СП'!$F$5="Да",ISNUMBER(F11),F11&gt;0))</f>
        <v>1</v>
      </c>
      <c r="B11" s="500" t="s">
        <v>17</v>
      </c>
      <c r="C11" s="500" t="s">
        <v>223</v>
      </c>
      <c r="D11" s="500" t="s">
        <v>339</v>
      </c>
      <c r="E11" s="500" t="s">
        <v>335</v>
      </c>
      <c r="F11" s="500">
        <f>'Сквозной расчёт фильтров'!E12</f>
        <v>9.1</v>
      </c>
      <c r="G11" s="500" t="s">
        <v>24</v>
      </c>
      <c r="H11" s="500">
        <f>IF(A11=1,'Ведомость закупки и СП'!$C$2,"")</f>
        <v>2</v>
      </c>
      <c r="I11" s="500" t="str">
        <f>IF(OR(F11="",F11=0),"",'Сквозной расчёт фильтров'!E14&amp;" Вт мин.")</f>
        <v>5 Вт мин.</v>
      </c>
      <c r="J11" s="500"/>
      <c r="K11" s="500"/>
      <c r="L11" s="500"/>
      <c r="M11" s="500"/>
      <c r="N11" s="500" t="str">
        <f t="shared" si="0"/>
        <v>Резистор|9,1|Ом|5 Вт мин.|||</v>
      </c>
      <c r="O11" s="500"/>
    </row>
    <row r="12" spans="1:15" x14ac:dyDescent="0.25">
      <c r="A12" s="500">
        <f>--(AND('Ведомость закупки и СП'!$G$5="Да",ISNUMBER(F12),F12&gt;0))</f>
        <v>1</v>
      </c>
      <c r="B12" s="500" t="s">
        <v>17</v>
      </c>
      <c r="C12" s="500" t="s">
        <v>224</v>
      </c>
      <c r="D12" s="500" t="s">
        <v>340</v>
      </c>
      <c r="E12" s="500" t="s">
        <v>332</v>
      </c>
      <c r="F12" s="500">
        <f>'Сквозной расчёт фильтров'!E22</f>
        <v>750</v>
      </c>
      <c r="G12" s="500" t="s">
        <v>32</v>
      </c>
      <c r="H12" s="500">
        <f>IF(A12=1,'Ведомость закупки и СП'!$C$2,"")</f>
        <v>2</v>
      </c>
      <c r="I12" s="500" t="str">
        <f>IF(OR(F12="",F12=0),"",_xlfn.LET(_xlpm.req,SQRT('Ведомость закупки и СП'!$F$2*'Сквозной расчёт фильтров'!D16)*'Справочные таблицы'!$P$15*'Справочные таблицы'!$P$16,_xlfn.XLOOKUP(_xlpm.req,'Справочные таблицы'!$G$3:$G$7,'Справочные таблицы'!$G$3:$G$7,630,1)&amp;" В"))</f>
        <v>100 В</v>
      </c>
      <c r="J12" s="500"/>
      <c r="K12" s="500"/>
      <c r="L12" s="500"/>
      <c r="M12" s="500"/>
      <c r="N12" s="500" t="str">
        <f t="shared" si="0"/>
        <v>Конденсатор|750|мкФ|100 В|||</v>
      </c>
      <c r="O12" s="500"/>
    </row>
    <row r="13" spans="1:15" x14ac:dyDescent="0.25">
      <c r="A13" s="500">
        <f>--(AND('Ведомость закупки и СП'!$G$5="Да",ISNUMBER(F13),F13&gt;0))</f>
        <v>1</v>
      </c>
      <c r="B13" s="500" t="s">
        <v>17</v>
      </c>
      <c r="C13" s="500" t="s">
        <v>224</v>
      </c>
      <c r="D13" s="500" t="s">
        <v>341</v>
      </c>
      <c r="E13" s="500" t="s">
        <v>335</v>
      </c>
      <c r="F13" s="500">
        <f>'Сквозной расчёт фильтров'!E25</f>
        <v>6.2</v>
      </c>
      <c r="G13" s="500" t="s">
        <v>24</v>
      </c>
      <c r="H13" s="500">
        <f>IF(A13=1,'Ведомость закупки и СП'!$C$2,"")</f>
        <v>2</v>
      </c>
      <c r="I13" s="500" t="str">
        <f>IF(OR(F13="",F13=0),"",'Сквозной расчёт фильтров'!E26&amp;" Вт мин.")</f>
        <v>20 Вт мин.</v>
      </c>
      <c r="J13" s="500"/>
      <c r="K13" s="500"/>
      <c r="L13" s="500"/>
      <c r="M13" s="500"/>
      <c r="N13" s="500" t="str">
        <f t="shared" si="0"/>
        <v>Резистор|6,2|Ом|20 Вт мин.|||</v>
      </c>
      <c r="O13" s="500"/>
    </row>
    <row r="14" spans="1:15" x14ac:dyDescent="0.25">
      <c r="A14" s="500">
        <f>--(AND('Ведомость закупки и СП'!$G$5="Да",ISNUMBER(F14),F14&gt;0))</f>
        <v>1</v>
      </c>
      <c r="B14" s="500" t="s">
        <v>17</v>
      </c>
      <c r="C14" s="500" t="s">
        <v>224</v>
      </c>
      <c r="D14" s="500" t="s">
        <v>342</v>
      </c>
      <c r="E14" s="500" t="s">
        <v>333</v>
      </c>
      <c r="F14" s="500">
        <f>'DATA_Расчёт катушек'!B2</f>
        <v>16.02859817925949</v>
      </c>
      <c r="G14" s="500" t="s">
        <v>31</v>
      </c>
      <c r="H14" s="500">
        <f>IF(A14=1,'Ведомость закупки и СП'!$C$2,"")</f>
        <v>2</v>
      </c>
      <c r="I14" s="500"/>
      <c r="J14" s="500">
        <f>IF(OR(F14="",F14=0),"",'DATA_Расчёт катушек'!C2)</f>
        <v>1.4</v>
      </c>
      <c r="K14" s="500">
        <f>IF(OR(F14="",F14=0),"",'DATA_Расчёт катушек'!F2)</f>
        <v>434</v>
      </c>
      <c r="L14" s="500" t="str">
        <f>IF(OR(F14="",F14=0),"",'DATA_Расчёт катушек'!D2)</f>
        <v>70/35</v>
      </c>
      <c r="M14" s="500" t="str">
        <f>IF(OR(F14="",F14=0),"","h="&amp;ROUND('DATA_Расчёт катушек'!G2,1)&amp;" мм; DCR="&amp;ROUND('DATA_Расчёт катушек'!E2,3)&amp;" Ом; "&amp;ROUND('DATA_Расчёт катушек'!M2,1)&amp;" м/шт; всего "&amp;ROUND('DATA_Расчёт катушек'!M2*'Ведомость закупки и СП'!$C$2,1)&amp;" м")</f>
        <v>h=28,5 мм; DCR=1,505 Ом; 134,4 м/шт; всего 268,7 м</v>
      </c>
      <c r="N14" s="500" t="str">
        <f t="shared" si="0"/>
        <v>Катушка|16,028598179|мГн||1,4|434|70/35</v>
      </c>
      <c r="O14" s="500">
        <f>IF(A14=1,'DATA_Расчёт катушек'!M2*'Ведомость закупки и СП'!$C$2,"")</f>
        <v>268.70351098872385</v>
      </c>
    </row>
    <row r="15" spans="1:15" x14ac:dyDescent="0.25">
      <c r="A15" s="500">
        <f>--(AND('Ведомость закупки и СП'!$D$6="Да",ISNUMBER(F15),F15&gt;0))</f>
        <v>1</v>
      </c>
      <c r="B15" s="500" t="s">
        <v>51</v>
      </c>
      <c r="C15" s="500" t="s">
        <v>343</v>
      </c>
      <c r="D15" s="500" t="s">
        <v>344</v>
      </c>
      <c r="E15" s="500" t="s">
        <v>332</v>
      </c>
      <c r="F15" s="500">
        <f>'Сквозной расчёт фильтров'!K39</f>
        <v>12</v>
      </c>
      <c r="G15" s="500" t="s">
        <v>32</v>
      </c>
      <c r="H15" s="500">
        <f>IF(A15=1,'Ведомость закупки и СП'!$C$2,"")</f>
        <v>2</v>
      </c>
      <c r="I15" s="500" t="str">
        <f>IF(OR(F15="",F15=0),"",_xlfn.LET(_xlpm.req,SQRT('Ведомость закупки и СП'!$F$2*'Сквозной расчёт фильтров'!J37)*'Справочные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15" s="500"/>
      <c r="K15" s="500"/>
      <c r="L15" s="500"/>
      <c r="M15" s="500"/>
      <c r="N15" s="500" t="str">
        <f t="shared" si="0"/>
        <v>Конденсатор|12|мкФ|63 В|||</v>
      </c>
      <c r="O15" s="500"/>
    </row>
    <row r="16" spans="1:15" x14ac:dyDescent="0.25">
      <c r="A16" s="500">
        <f>--(AND('Ведомость закупки и СП'!$D$6="Да",ISNUMBER(F16),F16&gt;0))</f>
        <v>1</v>
      </c>
      <c r="B16" s="500" t="s">
        <v>51</v>
      </c>
      <c r="C16" s="500" t="s">
        <v>343</v>
      </c>
      <c r="D16" s="500" t="s">
        <v>345</v>
      </c>
      <c r="E16" s="500" t="s">
        <v>332</v>
      </c>
      <c r="F16" s="500">
        <f>'Сквозной расчёт фильтров'!K40</f>
        <v>24</v>
      </c>
      <c r="G16" s="500" t="s">
        <v>32</v>
      </c>
      <c r="H16" s="500">
        <f>IF(A16=1,'Ведомость закупки и СП'!$C$2,"")</f>
        <v>2</v>
      </c>
      <c r="I16" s="500" t="str">
        <f>IF(OR(F16="",F16=0),"",_xlfn.LET(_xlpm.req,SQRT('Ведомость закупки и СП'!$F$2*'Сквозной расчёт фильтров'!J37)*'Справочные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16" s="500"/>
      <c r="K16" s="500"/>
      <c r="L16" s="500"/>
      <c r="M16" s="500"/>
      <c r="N16" s="500" t="str">
        <f t="shared" si="0"/>
        <v>Конденсатор|24|мкФ|63 В|||</v>
      </c>
      <c r="O16" s="500"/>
    </row>
    <row r="17" spans="1:15" x14ac:dyDescent="0.25">
      <c r="A17" s="500">
        <f>--(AND('Ведомость закупки и СП'!$D$6="Да",ISNUMBER(F17),F17&gt;0))</f>
        <v>1</v>
      </c>
      <c r="B17" s="500" t="s">
        <v>51</v>
      </c>
      <c r="C17" s="500" t="s">
        <v>343</v>
      </c>
      <c r="D17" s="500" t="s">
        <v>346</v>
      </c>
      <c r="E17" s="500" t="s">
        <v>333</v>
      </c>
      <c r="F17" s="500">
        <f>'DATA_Расчёт катушек'!B10</f>
        <v>0.70361933084956774</v>
      </c>
      <c r="G17" s="500" t="s">
        <v>31</v>
      </c>
      <c r="H17" s="500">
        <f>IF(A17=1,'Ведомость закупки и СП'!$C$2,"")</f>
        <v>2</v>
      </c>
      <c r="I17" s="500"/>
      <c r="J17" s="500">
        <f>IF(OR(F17="",F17=0),"",'DATA_Расчёт катушек'!C10)</f>
        <v>2</v>
      </c>
      <c r="K17" s="500">
        <f>IF(OR(F17="",F17=0),"",'DATA_Расчёт катушек'!F10)</f>
        <v>108</v>
      </c>
      <c r="L17" s="500" t="str">
        <f>IF(OR(F17="",F17=0),"",'DATA_Расчёт катушек'!D10)</f>
        <v>50/25</v>
      </c>
      <c r="M17" s="500" t="str">
        <f>IF(OR(F17="",F17=0),"","h="&amp;ROUND('DATA_Расчёт катушек'!G10,1)&amp;" мм; DCR="&amp;ROUND('DATA_Расчёт катушек'!E10,3)&amp;" Ом; "&amp;ROUND('DATA_Расчёт катушек'!M10,1)&amp;" м/шт; всего "&amp;ROUND('DATA_Расчёт катушек'!M10*'Ведомость закупки и СП'!$C$2,1)&amp;" м")</f>
        <v>h=21,1 мм; DCR=0,132 Ом; 24,1 м/шт; всего 48,3 м</v>
      </c>
      <c r="N17" s="500" t="str">
        <f t="shared" si="0"/>
        <v>Катушка|0,703619331|мГн||2|108|50/25</v>
      </c>
      <c r="O17" s="500">
        <f>IF(A17=1,'DATA_Расчёт катушек'!M10*'Ведомость закупки и СП'!$C$2,"")</f>
        <v>48.260895017037299</v>
      </c>
    </row>
    <row r="18" spans="1:15" x14ac:dyDescent="0.25">
      <c r="A18" s="500">
        <f>--(AND('Ведомость закупки и СП'!$D$6="Да",ISNUMBER(F18),F18&gt;0))</f>
        <v>1</v>
      </c>
      <c r="B18" s="500" t="s">
        <v>51</v>
      </c>
      <c r="C18" s="500" t="s">
        <v>343</v>
      </c>
      <c r="D18" s="500" t="s">
        <v>347</v>
      </c>
      <c r="E18" s="500" t="s">
        <v>333</v>
      </c>
      <c r="F18" s="500">
        <f>'DATA_Расчёт катушек'!B11</f>
        <v>3.1662869888230554</v>
      </c>
      <c r="G18" s="500" t="s">
        <v>31</v>
      </c>
      <c r="H18" s="500">
        <f>IF(A18=1,'Ведомость закупки и СП'!$C$2,"")</f>
        <v>2</v>
      </c>
      <c r="I18" s="500"/>
      <c r="J18" s="500">
        <f>IF(OR(F18="",F18=0),"",'DATA_Расчёт катушек'!C11)</f>
        <v>1.4</v>
      </c>
      <c r="K18" s="500">
        <f>IF(OR(F18="",F18=0),"",'DATA_Расчёт катушек'!F11)</f>
        <v>213</v>
      </c>
      <c r="L18" s="500" t="str">
        <f>IF(OR(F18="",F18=0),"",'DATA_Расчёт катушек'!D11)</f>
        <v>60/30</v>
      </c>
      <c r="M18" s="500" t="str">
        <f>IF(OR(F18="",F18=0),"","h="&amp;ROUND('DATA_Расчёт катушек'!G11,1)&amp;" мм; DCR="&amp;ROUND('DATA_Расчёт катушек'!E11,3)&amp;" Ом; "&amp;ROUND('DATA_Расчёт катушек'!M11,1)&amp;" м/шт; всего "&amp;ROUND('DATA_Расчёт катушек'!M11*'Ведомость закупки и СП'!$C$2,1)&amp;" м")</f>
        <v>h=18 мм; DCR=0,585 Ом; 52,2 м/шт; всего 104,4 м</v>
      </c>
      <c r="N18" s="500" t="str">
        <f t="shared" si="0"/>
        <v>Катушка|3,166286989|мГн||1,4|213|60/30</v>
      </c>
      <c r="O18" s="500">
        <f>IF(A18=1,'DATA_Расчёт катушек'!M11*'Ведомость закупки и СП'!$C$2,"")</f>
        <v>104.42096033677883</v>
      </c>
    </row>
    <row r="19" spans="1:15" x14ac:dyDescent="0.25">
      <c r="A19" s="500">
        <f>--(AND('Ведомость закупки и СП'!$D$6="Да",ISNUMBER(F19),F19&gt;0))</f>
        <v>1</v>
      </c>
      <c r="B19" s="500" t="s">
        <v>51</v>
      </c>
      <c r="C19" s="500" t="s">
        <v>348</v>
      </c>
      <c r="D19" s="500" t="s">
        <v>349</v>
      </c>
      <c r="E19" s="500" t="s">
        <v>332</v>
      </c>
      <c r="F19" s="500">
        <f>'Сквозной расчёт фильтров'!N39</f>
        <v>5.6</v>
      </c>
      <c r="G19" s="500" t="s">
        <v>32</v>
      </c>
      <c r="H19" s="500">
        <f>IF(A19=1,'Ведомость закупки и СП'!$C$2,"")</f>
        <v>2</v>
      </c>
      <c r="I19" s="500" t="str">
        <f>IF(OR(F19="",F19=0),"",_xlfn.LET(_xlpm.req,SQRT('Ведомость закупки и СП'!$F$2*'Сквозной расчёт фильтров'!M37)*'Справочные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19" s="500"/>
      <c r="K19" s="500"/>
      <c r="L19" s="500"/>
      <c r="M19" s="500"/>
      <c r="N19" s="500" t="str">
        <f t="shared" si="0"/>
        <v>Конденсатор|5,6|мкФ|63 В|||</v>
      </c>
      <c r="O19" s="500"/>
    </row>
    <row r="20" spans="1:15" x14ac:dyDescent="0.25">
      <c r="A20" s="500">
        <f>--(AND('Ведомость закупки и СП'!$D$6="Да",ISNUMBER(F20),F20&gt;0))</f>
        <v>1</v>
      </c>
      <c r="B20" s="500" t="s">
        <v>51</v>
      </c>
      <c r="C20" s="500" t="s">
        <v>348</v>
      </c>
      <c r="D20" s="500" t="s">
        <v>350</v>
      </c>
      <c r="E20" s="500" t="s">
        <v>332</v>
      </c>
      <c r="F20" s="500">
        <f>'Сквозной расчёт фильтров'!N40</f>
        <v>1.3</v>
      </c>
      <c r="G20" s="500" t="s">
        <v>32</v>
      </c>
      <c r="H20" s="500">
        <f>IF(A20=1,'Ведомость закупки и СП'!$C$2,"")</f>
        <v>2</v>
      </c>
      <c r="I20" s="500" t="str">
        <f>IF(OR(F20="",F20=0),"",_xlfn.LET(_xlpm.req,SQRT('Ведомость закупки и СП'!$F$2*'Сквозной расчёт фильтров'!M37)*'Справочные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20" s="500"/>
      <c r="K20" s="500"/>
      <c r="L20" s="500"/>
      <c r="M20" s="500"/>
      <c r="N20" s="500" t="str">
        <f t="shared" si="0"/>
        <v>Конденсатор|1,3|мкФ|63 В|||</v>
      </c>
      <c r="O20" s="500"/>
    </row>
    <row r="21" spans="1:15" x14ac:dyDescent="0.25">
      <c r="A21" s="500">
        <f>--(AND('Ведомость закупки и СП'!$D$6="Да",ISNUMBER(F21),F21&gt;0))</f>
        <v>1</v>
      </c>
      <c r="B21" s="500" t="s">
        <v>51</v>
      </c>
      <c r="C21" s="500" t="s">
        <v>348</v>
      </c>
      <c r="D21" s="500" t="s">
        <v>351</v>
      </c>
      <c r="E21" s="500" t="s">
        <v>333</v>
      </c>
      <c r="F21" s="500">
        <f>'DATA_Расчёт катушек'!B8</f>
        <v>0.44858847539405777</v>
      </c>
      <c r="G21" s="500" t="s">
        <v>31</v>
      </c>
      <c r="H21" s="500">
        <f>IF(A21=1,'Ведомость закупки и СП'!$C$2,"")</f>
        <v>2</v>
      </c>
      <c r="I21" s="500"/>
      <c r="J21" s="500">
        <f>IF(OR(F21="",F21=0),"",'DATA_Расчёт катушек'!C8)</f>
        <v>1.4</v>
      </c>
      <c r="K21" s="500">
        <f>IF(OR(F21="",F21=0),"",'DATA_Расчёт катушек'!F8)</f>
        <v>99</v>
      </c>
      <c r="L21" s="500" t="str">
        <f>IF(OR(F21="",F21=0),"",'DATA_Расчёт катушек'!D8)</f>
        <v>40/20</v>
      </c>
      <c r="M21" s="500" t="str">
        <f>IF(OR(F21="",F21=0),"","h="&amp;ROUND('DATA_Расчёт катушек'!G8,1)&amp;" мм; DCR="&amp;ROUND('DATA_Расчёт катушек'!E8,3)&amp;" Ом; "&amp;ROUND('DATA_Расчёт катушек'!M8,1)&amp;" м/шт; всего "&amp;ROUND('DATA_Расчёт катушек'!M8*'Ведомость закупки и СП'!$C$2,1)&amp;" м")</f>
        <v>h=12 мм; DCR=0,181 Ом; 16,2 м/шт; всего 32,4 м</v>
      </c>
      <c r="N21" s="500" t="str">
        <f t="shared" si="0"/>
        <v>Катушка|0,448588475|мГн||1,4|99|40/20</v>
      </c>
      <c r="O21" s="500">
        <f>IF(A21=1,'DATA_Расчёт катушек'!M8*'Ведомость закупки и СП'!$C$2,"")</f>
        <v>32.355790526889216</v>
      </c>
    </row>
    <row r="22" spans="1:15" x14ac:dyDescent="0.25">
      <c r="A22" s="500">
        <f>--(AND('Ведомость закупки и СП'!$D$6="Да",ISNUMBER(F22),F22&gt;0))</f>
        <v>1</v>
      </c>
      <c r="B22" s="500" t="s">
        <v>51</v>
      </c>
      <c r="C22" s="500" t="s">
        <v>348</v>
      </c>
      <c r="D22" s="500" t="s">
        <v>352</v>
      </c>
      <c r="E22" s="500" t="s">
        <v>333</v>
      </c>
      <c r="F22" s="500">
        <f>'DATA_Расчёт катушек'!B9</f>
        <v>0.21470901386382246</v>
      </c>
      <c r="G22" s="500" t="s">
        <v>31</v>
      </c>
      <c r="H22" s="500">
        <f>IF(A22=1,'Ведомость закупки и СП'!$C$2,"")</f>
        <v>2</v>
      </c>
      <c r="I22" s="500"/>
      <c r="J22" s="500">
        <f>IF(OR(F22="",F22=0),"",'DATA_Расчёт катушек'!C9)</f>
        <v>1.4</v>
      </c>
      <c r="K22" s="500">
        <f>IF(OR(F22="",F22=0),"",'DATA_Расчёт катушек'!F9)</f>
        <v>73</v>
      </c>
      <c r="L22" s="500" t="str">
        <f>IF(OR(F22="",F22=0),"",'DATA_Расчёт катушек'!D9)</f>
        <v>35/17,5</v>
      </c>
      <c r="M22" s="500" t="str">
        <f>IF(OR(F22="",F22=0),"","h="&amp;ROUND('DATA_Расчёт катушек'!G9,1)&amp;" мм; DCR="&amp;ROUND('DATA_Расчёт катушек'!E9,3)&amp;" Ом; "&amp;ROUND('DATA_Расчёт катушек'!M9,1)&amp;" м/шт; всего "&amp;ROUND('DATA_Расчёт катушек'!M9*'Ведомость закупки и СП'!$C$2,1)&amp;" м")</f>
        <v>h=10,5 мм; DCR=0,117 Ом; 10,4 м/шт; всего 20,9 м</v>
      </c>
      <c r="N22" s="500" t="str">
        <f t="shared" si="0"/>
        <v>Катушка|0,214709014|мГн||1,4|73|35/17,5</v>
      </c>
      <c r="O22" s="500">
        <f>IF(A22=1,'DATA_Расчёт катушек'!M9*'Ведомость закупки и СП'!$C$2,"")</f>
        <v>20.876021413182308</v>
      </c>
    </row>
    <row r="23" spans="1:15" x14ac:dyDescent="0.25">
      <c r="A23" s="500">
        <f>--(AND('Ведомость закупки и СП'!$E$6="Да",ISNUMBER(F23),F23&gt;0))</f>
        <v>1</v>
      </c>
      <c r="B23" s="500" t="s">
        <v>51</v>
      </c>
      <c r="C23" s="500" t="s">
        <v>220</v>
      </c>
      <c r="D23" s="500" t="s">
        <v>336</v>
      </c>
      <c r="E23" s="500" t="s">
        <v>335</v>
      </c>
      <c r="F23" s="500">
        <f>'Сквозной расчёт фильтров'!K31</f>
        <v>1.8</v>
      </c>
      <c r="G23" s="500" t="s">
        <v>24</v>
      </c>
      <c r="H23" s="500">
        <f>IF(A23=1,'Ведомость закупки и СП'!$C$2,"")</f>
        <v>2</v>
      </c>
      <c r="I23" s="500" t="str">
        <f>IF(OR(F23="",F23=0),"",'Сквозной расчёт фильтров'!K33&amp;" Вт мин.")</f>
        <v>10 Вт мин.</v>
      </c>
      <c r="J23" s="500"/>
      <c r="K23" s="500"/>
      <c r="L23" s="500"/>
      <c r="M23" s="500"/>
      <c r="N23" s="500" t="str">
        <f t="shared" si="0"/>
        <v>Резистор|1,8|Ом|10 Вт мин.|||</v>
      </c>
      <c r="O23" s="500"/>
    </row>
    <row r="24" spans="1:15" x14ac:dyDescent="0.25">
      <c r="A24" s="500">
        <f>--(AND('Ведомость закупки и СП'!$E$6="Да",ISNUMBER(F24),F24&gt;0))</f>
        <v>1</v>
      </c>
      <c r="B24" s="500" t="s">
        <v>51</v>
      </c>
      <c r="C24" s="500" t="s">
        <v>220</v>
      </c>
      <c r="D24" s="500" t="s">
        <v>337</v>
      </c>
      <c r="E24" s="500" t="s">
        <v>335</v>
      </c>
      <c r="F24" s="500">
        <f>'Сквозной расчёт фильтров'!K32</f>
        <v>15</v>
      </c>
      <c r="G24" s="500" t="s">
        <v>24</v>
      </c>
      <c r="H24" s="500">
        <f>IF(A24=1,'Ведомость закупки и СП'!$C$2,"")</f>
        <v>2</v>
      </c>
      <c r="I24" s="500" t="str">
        <f>IF(OR(F24="",F24=0),"",'Сквозной расчёт фильтров'!K34&amp;" Вт мин.")</f>
        <v>10 Вт мин.</v>
      </c>
      <c r="J24" s="500"/>
      <c r="K24" s="500"/>
      <c r="L24" s="500"/>
      <c r="M24" s="500"/>
      <c r="N24" s="500" t="str">
        <f t="shared" si="0"/>
        <v>Резистор|15|Ом|10 Вт мин.|||</v>
      </c>
      <c r="O24" s="500"/>
    </row>
    <row r="25" spans="1:15" x14ac:dyDescent="0.25">
      <c r="A25" s="500">
        <f>--(AND('Ведомость закупки и СП'!$F$6="Да",ISNUMBER(F25),F25&gt;0))</f>
        <v>1</v>
      </c>
      <c r="B25" s="500" t="s">
        <v>51</v>
      </c>
      <c r="C25" s="500" t="s">
        <v>223</v>
      </c>
      <c r="D25" s="500" t="s">
        <v>338</v>
      </c>
      <c r="E25" s="500" t="s">
        <v>332</v>
      </c>
      <c r="F25" s="500">
        <f>'Сквозной расчёт фильтров'!K13</f>
        <v>4.3</v>
      </c>
      <c r="G25" s="500" t="s">
        <v>32</v>
      </c>
      <c r="H25" s="500">
        <f>IF(A25=1,'Ведомость закупки и СП'!$C$2,"")</f>
        <v>2</v>
      </c>
      <c r="I25" s="500" t="str">
        <f>IF(OR(F25="",F25=0),"",_xlfn.LET(_xlpm.req,SQRT('Ведомость закупки и СП'!$F$2*'Сквозной расчёт фильтров'!J4)*'Справочные таблицы'!$P$15*'Справочные таблицы'!$P$16,_xlfn.XLOOKUP(_xlpm.req,'Справочные таблицы'!$G$3:$G$7,'Справочные таблицы'!$G$3:$G$7,630,1)&amp;" В"))</f>
        <v>63 В</v>
      </c>
      <c r="J25" s="500"/>
      <c r="K25" s="500"/>
      <c r="L25" s="500"/>
      <c r="M25" s="500"/>
      <c r="N25" s="500" t="str">
        <f t="shared" si="0"/>
        <v>Конденсатор|4,3|мкФ|63 В|||</v>
      </c>
      <c r="O25" s="500"/>
    </row>
    <row r="26" spans="1:15" x14ac:dyDescent="0.25">
      <c r="A26" s="500">
        <f>--(AND('Ведомость закупки и СП'!$F$6="Да",ISNUMBER(F26),F26&gt;0))</f>
        <v>1</v>
      </c>
      <c r="B26" s="500" t="s">
        <v>51</v>
      </c>
      <c r="C26" s="500" t="s">
        <v>223</v>
      </c>
      <c r="D26" s="500" t="s">
        <v>339</v>
      </c>
      <c r="E26" s="500" t="s">
        <v>335</v>
      </c>
      <c r="F26" s="500">
        <f>'Сквозной расчёт фильтров'!K12</f>
        <v>7.5</v>
      </c>
      <c r="G26" s="500" t="s">
        <v>24</v>
      </c>
      <c r="H26" s="500">
        <f>IF(A26=1,'Ведомость закупки и СП'!$C$2,"")</f>
        <v>2</v>
      </c>
      <c r="I26" s="500" t="str">
        <f>IF(OR(F26="",F26=0),"",'Сквозной расчёт фильтров'!K14&amp;" Вт мин.")</f>
        <v>5 Вт мин.</v>
      </c>
      <c r="J26" s="500"/>
      <c r="K26" s="500"/>
      <c r="L26" s="500"/>
      <c r="M26" s="500"/>
      <c r="N26" s="500" t="str">
        <f t="shared" si="0"/>
        <v>Резистор|7,5|Ом|5 Вт мин.|||</v>
      </c>
      <c r="O26" s="500"/>
    </row>
    <row r="27" spans="1:15" x14ac:dyDescent="0.25">
      <c r="A27" s="500">
        <f>--(AND('Ведомость закупки и СП'!$G$6="Да",ISNUMBER(F27),F27&gt;0))</f>
        <v>0</v>
      </c>
      <c r="B27" s="500" t="s">
        <v>51</v>
      </c>
      <c r="C27" s="500" t="s">
        <v>224</v>
      </c>
      <c r="D27" s="500" t="s">
        <v>340</v>
      </c>
      <c r="E27" s="500" t="s">
        <v>332</v>
      </c>
      <c r="F27" s="500">
        <f>'Сквозной расчёт фильтров'!K22</f>
        <v>62</v>
      </c>
      <c r="G27" s="500" t="s">
        <v>32</v>
      </c>
      <c r="H27" s="500" t="str">
        <f>IF(A27=1,'Ведомость закупки и СП'!$C$2,"")</f>
        <v/>
      </c>
      <c r="I27" s="500" t="str">
        <f>IF(OR(F27="",F27=0),"",_xlfn.LET(_xlpm.req,SQRT('Ведомость закупки и СП'!$F$2*'Сквозной расчёт фильтров'!J16)*'Справочные таблицы'!$P$15*'Справочные таблицы'!$P$16,_xlfn.XLOOKUP(_xlpm.req,'Справочные таблицы'!$G$3:$G$7,'Справочные таблицы'!$G$3:$G$7,630,1)&amp;" В"))</f>
        <v>100 В</v>
      </c>
      <c r="J27" s="500"/>
      <c r="K27" s="500"/>
      <c r="L27" s="500"/>
      <c r="M27" s="500"/>
      <c r="N27" s="500" t="str">
        <f t="shared" si="0"/>
        <v/>
      </c>
      <c r="O27" s="500"/>
    </row>
    <row r="28" spans="1:15" x14ac:dyDescent="0.25">
      <c r="A28" s="500">
        <f>--(AND('Ведомость закупки и СП'!$G$6="Да",ISNUMBER(F28),F28&gt;0))</f>
        <v>0</v>
      </c>
      <c r="B28" s="500" t="s">
        <v>51</v>
      </c>
      <c r="C28" s="500" t="s">
        <v>224</v>
      </c>
      <c r="D28" s="500" t="s">
        <v>341</v>
      </c>
      <c r="E28" s="500" t="s">
        <v>335</v>
      </c>
      <c r="F28" s="500">
        <f>'Сквозной расчёт фильтров'!K25</f>
        <v>7.5</v>
      </c>
      <c r="G28" s="500" t="s">
        <v>24</v>
      </c>
      <c r="H28" s="500" t="str">
        <f>IF(A28=1,'Ведомость закупки и СП'!$C$2,"")</f>
        <v/>
      </c>
      <c r="I28" s="500" t="str">
        <f>IF(OR(F28="",F28=0),"",'Сквозной расчёт фильтров'!K26&amp;" Вт мин.")</f>
        <v>5 Вт мин.</v>
      </c>
      <c r="J28" s="500"/>
      <c r="K28" s="500"/>
      <c r="L28" s="500"/>
      <c r="M28" s="500"/>
      <c r="N28" s="500" t="str">
        <f t="shared" si="0"/>
        <v/>
      </c>
      <c r="O28" s="500"/>
    </row>
    <row r="29" spans="1:15" x14ac:dyDescent="0.25">
      <c r="A29" s="500">
        <f>--(AND('Ведомость закупки и СП'!$G$6="Да",ISNUMBER(F29),F29&gt;0))</f>
        <v>0</v>
      </c>
      <c r="B29" s="500" t="s">
        <v>51</v>
      </c>
      <c r="C29" s="500" t="s">
        <v>224</v>
      </c>
      <c r="D29" s="500" t="s">
        <v>342</v>
      </c>
      <c r="E29" s="500" t="s">
        <v>333</v>
      </c>
      <c r="F29" s="500">
        <f>'DATA_Расчёт катушек'!B3</f>
        <v>9.8271620972956892</v>
      </c>
      <c r="G29" s="500" t="s">
        <v>31</v>
      </c>
      <c r="H29" s="500" t="str">
        <f>IF(A29=1,'Ведомость закупки и СП'!$C$2,"")</f>
        <v/>
      </c>
      <c r="I29" s="500"/>
      <c r="J29" s="500">
        <f>IF(OR(F29="",F29=0),"",'DATA_Расчёт катушек'!C3)</f>
        <v>1.4</v>
      </c>
      <c r="K29" s="500">
        <f>IF(OR(F29="",F29=0),"",'DATA_Расчёт катушек'!F3)</f>
        <v>346</v>
      </c>
      <c r="L29" s="500" t="str">
        <f>IF(OR(F29="",F29=0),"",'DATA_Расчёт катушек'!D3)</f>
        <v>70/35</v>
      </c>
      <c r="M29" s="500" t="str">
        <f>IF(OR(F29="",F29=0),"","h="&amp;ROUND('DATA_Расчёт катушек'!G3,1)&amp;" мм; DCR="&amp;ROUND('DATA_Расчёт катушек'!E3,3)&amp;" Ом; "&amp;ROUND('DATA_Расчёт катушек'!M3,1)&amp;" м/шт; всего "&amp;ROUND('DATA_Расчёт катушек'!M3*'Ведомость закупки и СП'!$C$2,1)&amp;" м")</f>
        <v>h=24 мм; DCR=1,145 Ом; 102,2 м/шт; всего 204,4 м</v>
      </c>
      <c r="N29" s="500" t="str">
        <f t="shared" si="0"/>
        <v/>
      </c>
      <c r="O29" s="500" t="str">
        <f>IF(A29=1,'DATA_Расчёт катушек'!M3*'Ведомость закупки и СП'!$C$2,"")</f>
        <v/>
      </c>
    </row>
    <row r="30" spans="1:15" x14ac:dyDescent="0.25">
      <c r="A30" s="500">
        <f>--(AND('Ведомость закупки и СП'!$D$7="Да",ISNUMBER(F30),F30&gt;0))</f>
        <v>0</v>
      </c>
      <c r="B30" s="500" t="s">
        <v>16</v>
      </c>
      <c r="C30" s="500" t="s">
        <v>353</v>
      </c>
      <c r="D30" s="500" t="s">
        <v>71</v>
      </c>
      <c r="E30" s="500" t="s">
        <v>332</v>
      </c>
      <c r="F30" s="500">
        <f>'Сквозной расчёт фильтров'!H39</f>
        <v>1.5</v>
      </c>
      <c r="G30" s="500" t="s">
        <v>32</v>
      </c>
      <c r="H30" s="500" t="str">
        <f>IF(A30=1,'Ведомость закупки и СП'!$C$2,"")</f>
        <v/>
      </c>
      <c r="I30" s="500" t="str">
        <f>IF(OR(F30="",F30=0),"",_xlfn.LET(_xlpm.req,SQRT('Ведомость закупки и СП'!$F$2*'Сквозной расчёт фильтров'!G37)*'Справочные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30" s="500"/>
      <c r="K30" s="500"/>
      <c r="L30" s="500"/>
      <c r="M30" s="500"/>
      <c r="N30" s="500" t="str">
        <f t="shared" si="0"/>
        <v/>
      </c>
      <c r="O30" s="500"/>
    </row>
    <row r="31" spans="1:15" x14ac:dyDescent="0.25">
      <c r="A31" s="500">
        <f>--(AND('Ведомость закупки и СП'!$D$7="Да",ISNUMBER(F31),F31&gt;0))</f>
        <v>0</v>
      </c>
      <c r="B31" s="500" t="s">
        <v>16</v>
      </c>
      <c r="C31" s="500" t="s">
        <v>353</v>
      </c>
      <c r="D31" s="500" t="s">
        <v>73</v>
      </c>
      <c r="E31" s="500" t="s">
        <v>332</v>
      </c>
      <c r="F31" s="500">
        <f>'Сквозной расчёт фильтров'!H40</f>
        <v>3</v>
      </c>
      <c r="G31" s="500" t="s">
        <v>32</v>
      </c>
      <c r="H31" s="500" t="str">
        <f>IF(A31=1,'Ведомость закупки и СП'!$C$2,"")</f>
        <v/>
      </c>
      <c r="I31" s="500" t="str">
        <f>IF(OR(F31="",F31=0),"",_xlfn.LET(_xlpm.req,SQRT('Ведомость закупки и СП'!$F$2*'Сквозной расчёт фильтров'!G37)*'Справочные таблицы'!$P$15*'Справочные таблицы'!$P$16,_xlfn.XLOOKUP(_xlpm.req,'Справочные таблицы'!$G$3:$G$7,'Справочные таблицы'!$G$3:$G$7,630,1)&amp;" В"))</f>
        <v>63 В</v>
      </c>
      <c r="J31" s="500"/>
      <c r="K31" s="500"/>
      <c r="L31" s="500"/>
      <c r="M31" s="500"/>
      <c r="N31" s="500" t="str">
        <f t="shared" si="0"/>
        <v/>
      </c>
      <c r="O31" s="500"/>
    </row>
    <row r="32" spans="1:15" x14ac:dyDescent="0.25">
      <c r="A32" s="500">
        <f>--(AND('Ведомость закупки и СП'!$D$7="Да",ISNUMBER(F32),F32&gt;0))</f>
        <v>0</v>
      </c>
      <c r="B32" s="500" t="s">
        <v>16</v>
      </c>
      <c r="C32" s="500" t="s">
        <v>353</v>
      </c>
      <c r="D32" s="500" t="s">
        <v>70</v>
      </c>
      <c r="E32" s="500" t="s">
        <v>333</v>
      </c>
      <c r="F32" s="500">
        <f>'DATA_Расчёт катушек'!B12</f>
        <v>0.12539440068604457</v>
      </c>
      <c r="G32" s="500" t="s">
        <v>31</v>
      </c>
      <c r="H32" s="500" t="str">
        <f>IF(A32=1,'Ведомость закупки и СП'!$C$2,"")</f>
        <v/>
      </c>
      <c r="I32" s="500"/>
      <c r="J32" s="500">
        <f>IF(OR(F32="",F32=0),"",'DATA_Расчёт катушек'!C12)</f>
        <v>1.4</v>
      </c>
      <c r="K32" s="500">
        <f>IF(OR(F32="",F32=0),"",'DATA_Расчёт катушек'!F12)</f>
        <v>60</v>
      </c>
      <c r="L32" s="500" t="str">
        <f>IF(OR(F32="",F32=0),"",'DATA_Расчёт катушек'!D12)</f>
        <v>30/15</v>
      </c>
      <c r="M32" s="500" t="str">
        <f>IF(OR(F32="",F32=0),"","h="&amp;ROUND('DATA_Расчёт катушек'!G12,1)&amp;" мм; DCR="&amp;ROUND('DATA_Расчёт катушек'!E12,3)&amp;" Ом; "&amp;ROUND('DATA_Расчёт катушек'!M12,1)&amp;" м/шт; всего "&amp;ROUND('DATA_Расчёт катушек'!M12*'Ведомость закупки и СП'!$C$2,1)&amp;" м")</f>
        <v>h=10,5 мм; DCR=0,086 Ом; 7,6 м/шт; всего 15,3 м</v>
      </c>
      <c r="N32" s="500" t="str">
        <f t="shared" si="0"/>
        <v/>
      </c>
      <c r="O32" s="500" t="str">
        <f>IF(A32=1,'DATA_Расчёт катушек'!M12*'Ведомость закупки и СП'!$C$2,"")</f>
        <v/>
      </c>
    </row>
    <row r="33" spans="1:15" x14ac:dyDescent="0.25">
      <c r="A33" s="500">
        <f>--(AND('Ведомость закупки и СП'!$D$7="Да",ISNUMBER(F33),F33&gt;0))</f>
        <v>0</v>
      </c>
      <c r="B33" s="500" t="s">
        <v>16</v>
      </c>
      <c r="C33" s="500" t="s">
        <v>353</v>
      </c>
      <c r="D33" s="500" t="s">
        <v>72</v>
      </c>
      <c r="E33" s="500" t="s">
        <v>333</v>
      </c>
      <c r="F33" s="500">
        <f>'DATA_Расчёт катушек'!B13</f>
        <v>0.56427480308720068</v>
      </c>
      <c r="G33" s="500" t="s">
        <v>31</v>
      </c>
      <c r="H33" s="500" t="str">
        <f>IF(A33=1,'Ведомость закупки и СП'!$C$2,"")</f>
        <v/>
      </c>
      <c r="I33" s="500"/>
      <c r="J33" s="500">
        <f>IF(OR(F33="",F33=0),"",'DATA_Расчёт катушек'!C13)</f>
        <v>1.4</v>
      </c>
      <c r="K33" s="500">
        <f>IF(OR(F33="",F33=0),"",'DATA_Расчёт катушек'!F13)</f>
        <v>110</v>
      </c>
      <c r="L33" s="500" t="str">
        <f>IF(OR(F33="",F33=0),"",'DATA_Расчёт катушек'!D13)</f>
        <v>40/20</v>
      </c>
      <c r="M33" s="500" t="str">
        <f>IF(OR(F33="",F33=0),"","h="&amp;ROUND('DATA_Расчёт катушек'!G13,1)&amp;" мм; DCR="&amp;ROUND('DATA_Расчёт катушек'!E13,3)&amp;" Ом; "&amp;ROUND('DATA_Расчёт катушек'!M13,1)&amp;" м/шт; всего "&amp;ROUND('DATA_Расчёт катушек'!M13*'Ведомость закупки и СП'!$C$2,1)&amp;" м")</f>
        <v>h=13,5 мм; DCR=0,207 Ом; 18,5 м/шт; всего 37 м</v>
      </c>
      <c r="N33" s="500" t="str">
        <f t="shared" si="0"/>
        <v/>
      </c>
      <c r="O33" s="500" t="str">
        <f>IF(A33=1,'DATA_Расчёт катушек'!M13*'Ведомость закупки и СП'!$C$2,"")</f>
        <v/>
      </c>
    </row>
    <row r="34" spans="1:15" x14ac:dyDescent="0.25">
      <c r="A34" s="500">
        <f>--(AND('Ведомость закупки и СП'!$E$7="Да",ISNUMBER(F34),F34&gt;0))</f>
        <v>1</v>
      </c>
      <c r="B34" s="500" t="s">
        <v>16</v>
      </c>
      <c r="C34" s="500" t="s">
        <v>220</v>
      </c>
      <c r="D34" s="500" t="s">
        <v>336</v>
      </c>
      <c r="E34" s="500" t="s">
        <v>335</v>
      </c>
      <c r="F34" s="500">
        <f>'Сквозной расчёт фильтров'!H31</f>
        <v>2.7</v>
      </c>
      <c r="G34" s="500" t="s">
        <v>24</v>
      </c>
      <c r="H34" s="500">
        <f>IF(A34=1,'Ведомость закупки и СП'!$C$2,"")</f>
        <v>2</v>
      </c>
      <c r="I34" s="500" t="str">
        <f>IF(OR(F34="",F34=0),"",'Сквозной расчёт фильтров'!H33&amp;" Вт мин.")</f>
        <v>5 Вт мин.</v>
      </c>
      <c r="J34" s="500"/>
      <c r="K34" s="500"/>
      <c r="L34" s="500"/>
      <c r="M34" s="500"/>
      <c r="N34" s="500" t="str">
        <f t="shared" si="0"/>
        <v>Резистор|2,7|Ом|5 Вт мин.|||</v>
      </c>
      <c r="O34" s="500"/>
    </row>
    <row r="35" spans="1:15" x14ac:dyDescent="0.25">
      <c r="A35" s="500">
        <f>--(AND('Ведомость закупки и СП'!$E$7="Да",ISNUMBER(F35),F35&gt;0))</f>
        <v>1</v>
      </c>
      <c r="B35" s="500" t="s">
        <v>16</v>
      </c>
      <c r="C35" s="500" t="s">
        <v>220</v>
      </c>
      <c r="D35" s="500" t="s">
        <v>337</v>
      </c>
      <c r="E35" s="500" t="s">
        <v>335</v>
      </c>
      <c r="F35" s="500">
        <f>'Сквозной расчёт фильтров'!H32</f>
        <v>8.1999999999999993</v>
      </c>
      <c r="G35" s="500" t="s">
        <v>24</v>
      </c>
      <c r="H35" s="500">
        <f>IF(A35=1,'Ведомость закупки и СП'!$C$2,"")</f>
        <v>2</v>
      </c>
      <c r="I35" s="500" t="str">
        <f>IF(OR(F35="",F35=0),"",'Сквозной расчёт фильтров'!H34&amp;" Вт мин.")</f>
        <v>5 Вт мин.</v>
      </c>
      <c r="J35" s="500"/>
      <c r="K35" s="500"/>
      <c r="L35" s="500"/>
      <c r="M35" s="500"/>
      <c r="N35" s="500" t="str">
        <f t="shared" si="0"/>
        <v>Резистор|8,2|Ом|5 Вт мин.|||</v>
      </c>
      <c r="O35" s="500"/>
    </row>
    <row r="36" spans="1:15" x14ac:dyDescent="0.25">
      <c r="A36" s="500">
        <f>--(AND('Ведомость закупки и СП'!$F$7="Да",ISNUMBER(F36),F36&gt;0))</f>
        <v>1</v>
      </c>
      <c r="B36" s="500" t="s">
        <v>16</v>
      </c>
      <c r="C36" s="500" t="s">
        <v>223</v>
      </c>
      <c r="D36" s="500" t="s">
        <v>338</v>
      </c>
      <c r="E36" s="500" t="s">
        <v>332</v>
      </c>
      <c r="F36" s="500">
        <f>'Сквозной расчёт фильтров'!H13</f>
        <v>0.39</v>
      </c>
      <c r="G36" s="500" t="s">
        <v>32</v>
      </c>
      <c r="H36" s="500">
        <f>IF(A36=1,'Ведомость закупки и СП'!$C$2,"")</f>
        <v>2</v>
      </c>
      <c r="I36" s="500" t="str">
        <f>IF(OR(F36="",F36=0),"",_xlfn.LET(_xlpm.req,SQRT('Ведомость закупки и СП'!$F$2*'Сквозной расчёт фильтров'!G4)*'Справочные таблицы'!$P$15*'Справочные таблицы'!$P$16,_xlfn.XLOOKUP(_xlpm.req,'Справочные таблицы'!$G$3:$G$7,'Справочные таблицы'!$G$3:$G$7,630,1)&amp;" В"))</f>
        <v>63 В</v>
      </c>
      <c r="J36" s="500"/>
      <c r="K36" s="500"/>
      <c r="L36" s="500"/>
      <c r="M36" s="500"/>
      <c r="N36" s="500" t="str">
        <f t="shared" si="0"/>
        <v>Конденсатор|0,39|мкФ|63 В|||</v>
      </c>
      <c r="O36" s="500"/>
    </row>
    <row r="37" spans="1:15" x14ac:dyDescent="0.25">
      <c r="A37" s="500">
        <f>--(AND('Ведомость закупки и СП'!$F$7="Да",ISNUMBER(F37),F37&gt;0))</f>
        <v>1</v>
      </c>
      <c r="B37" s="500" t="s">
        <v>16</v>
      </c>
      <c r="C37" s="500" t="s">
        <v>223</v>
      </c>
      <c r="D37" s="500" t="s">
        <v>339</v>
      </c>
      <c r="E37" s="500" t="s">
        <v>335</v>
      </c>
      <c r="F37" s="500">
        <f>'Сквозной расчёт фильтров'!H12</f>
        <v>6.8</v>
      </c>
      <c r="G37" s="500" t="s">
        <v>24</v>
      </c>
      <c r="H37" s="500">
        <f>IF(A37=1,'Ведомость закупки и СП'!$C$2,"")</f>
        <v>2</v>
      </c>
      <c r="I37" s="500" t="str">
        <f>IF(OR(F37="",F37=0),"",'Сквозной расчёт фильтров'!H14&amp;" Вт мин.")</f>
        <v>5 Вт мин.</v>
      </c>
      <c r="J37" s="500"/>
      <c r="K37" s="500"/>
      <c r="L37" s="500"/>
      <c r="M37" s="500"/>
      <c r="N37" s="500" t="str">
        <f t="shared" si="0"/>
        <v>Резистор|6,8|Ом|5 Вт мин.|||</v>
      </c>
      <c r="O37" s="500"/>
    </row>
    <row r="38" spans="1:15" x14ac:dyDescent="0.25">
      <c r="A38" s="500">
        <f>--(AND('Ведомость закупки и СП'!$G$7="Да",ISNUMBER(F38),F38&gt;0))</f>
        <v>0</v>
      </c>
      <c r="B38" s="500" t="s">
        <v>16</v>
      </c>
      <c r="C38" s="500" t="s">
        <v>224</v>
      </c>
      <c r="D38" s="500" t="s">
        <v>340</v>
      </c>
      <c r="E38" s="500" t="s">
        <v>332</v>
      </c>
      <c r="F38" s="500">
        <f>'Сквозной расчёт фильтров'!H22</f>
        <v>75</v>
      </c>
      <c r="G38" s="500" t="s">
        <v>32</v>
      </c>
      <c r="H38" s="500" t="str">
        <f>IF(A38=1,'Ведомость закупки и СП'!$C$2,"")</f>
        <v/>
      </c>
      <c r="I38" s="500" t="str">
        <f>IF(OR(F38="",F38=0),"",_xlfn.LET(_xlpm.req,SQRT('Ведомость закупки и СП'!$F$2*'Сквозной расчёт фильтров'!G16)*'Справочные таблицы'!$P$15*'Справочные таблицы'!$P$16,_xlfn.XLOOKUP(_xlpm.req,'Справочные таблицы'!$G$3:$G$7,'Справочные таблицы'!$G$3:$G$7,630,1)&amp;" В"))</f>
        <v>63 В</v>
      </c>
      <c r="J38" s="500"/>
      <c r="K38" s="500"/>
      <c r="L38" s="500"/>
      <c r="M38" s="500"/>
      <c r="N38" s="500" t="str">
        <f t="shared" si="0"/>
        <v/>
      </c>
      <c r="O38" s="500"/>
    </row>
    <row r="39" spans="1:15" x14ac:dyDescent="0.25">
      <c r="A39" s="500">
        <f>--(AND('Ведомость закупки и СП'!$G$7="Да",ISNUMBER(F39),F39&gt;0))</f>
        <v>0</v>
      </c>
      <c r="B39" s="500" t="s">
        <v>16</v>
      </c>
      <c r="C39" s="500" t="s">
        <v>224</v>
      </c>
      <c r="D39" s="500" t="s">
        <v>341</v>
      </c>
      <c r="E39" s="500" t="s">
        <v>335</v>
      </c>
      <c r="F39" s="500">
        <f>'Сквозной расчёт фильтров'!H25</f>
        <v>7.5</v>
      </c>
      <c r="G39" s="500" t="s">
        <v>24</v>
      </c>
      <c r="H39" s="500" t="str">
        <f>IF(A39=1,'Ведомость закупки и СП'!$C$2,"")</f>
        <v/>
      </c>
      <c r="I39" s="500" t="str">
        <f>IF(OR(F39="",F39=0),"",'Сквозной расчёт фильтров'!H26&amp;" Вт мин.")</f>
        <v>5 Вт мин.</v>
      </c>
      <c r="J39" s="500"/>
      <c r="K39" s="500"/>
      <c r="L39" s="500"/>
      <c r="M39" s="500"/>
      <c r="N39" s="500" t="str">
        <f t="shared" si="0"/>
        <v/>
      </c>
      <c r="O39" s="500"/>
    </row>
    <row r="40" spans="1:15" x14ac:dyDescent="0.25">
      <c r="A40" s="500">
        <f>--(AND('Ведомость закупки и СП'!$G$7="Да",ISNUMBER(F40),F40&gt;0))</f>
        <v>0</v>
      </c>
      <c r="B40" s="500" t="s">
        <v>16</v>
      </c>
      <c r="C40" s="500" t="s">
        <v>224</v>
      </c>
      <c r="D40" s="500" t="s">
        <v>342</v>
      </c>
      <c r="E40" s="500" t="s">
        <v>333</v>
      </c>
      <c r="F40" s="500">
        <f>'DATA_Расчёт катушек'!B4</f>
        <v>1.175978190623449</v>
      </c>
      <c r="G40" s="500" t="s">
        <v>31</v>
      </c>
      <c r="H40" s="500" t="str">
        <f>IF(A40=1,'Ведомость закупки и СП'!$C$2,"")</f>
        <v/>
      </c>
      <c r="I40" s="500"/>
      <c r="J40" s="500">
        <f>IF(OR(F40="",F40=0),"",'DATA_Расчёт катушек'!C4)</f>
        <v>1.4</v>
      </c>
      <c r="K40" s="500">
        <f>IF(OR(F40="",F40=0),"",'DATA_Расчёт катушек'!F4)</f>
        <v>143</v>
      </c>
      <c r="L40" s="500" t="str">
        <f>IF(OR(F40="",F40=0),"",'DATA_Расчёт катушек'!D4)</f>
        <v>50/25</v>
      </c>
      <c r="M40" s="500" t="str">
        <f>IF(OR(F40="",F40=0),"","h="&amp;ROUND('DATA_Расчёт катушек'!G4,1)&amp;" мм; DCR="&amp;ROUND('DATA_Расчёт катушек'!E4,3)&amp;" Ом; "&amp;ROUND('DATA_Расчёт катушек'!M4,1)&amp;" м/шт; всего "&amp;ROUND('DATA_Расчёт катушек'!M4*'Ведомость закупки и СП'!$C$2,1)&amp;" м")</f>
        <v>h=13,5 мм; DCR=0,32 Ом; 28,5 м/шт; всего 57,1 м</v>
      </c>
      <c r="N40" s="500" t="str">
        <f t="shared" si="0"/>
        <v/>
      </c>
      <c r="O40" s="500" t="str">
        <f>IF(A40=1,'DATA_Расчёт катушек'!M4*'Ведомость закупки и СП'!$C$2,"")</f>
        <v/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0">
    <tabColor theme="0"/>
  </sheetPr>
  <dimension ref="A1:C66"/>
  <sheetViews>
    <sheetView zoomScaleNormal="100" workbookViewId="0">
      <selection activeCell="B1" sqref="B1"/>
    </sheetView>
  </sheetViews>
  <sheetFormatPr defaultColWidth="9.140625" defaultRowHeight="14.25" x14ac:dyDescent="0.25"/>
  <cols>
    <col min="1" max="1" width="101" style="53" customWidth="1"/>
    <col min="2" max="2" width="68.7109375" style="51" customWidth="1"/>
    <col min="3" max="3" width="2.85546875" style="51" customWidth="1"/>
    <col min="4" max="4" width="19.28515625" style="51" bestFit="1" customWidth="1"/>
    <col min="5" max="16384" width="9.140625" style="51"/>
  </cols>
  <sheetData>
    <row r="1" spans="1:3" ht="28.5" customHeight="1" x14ac:dyDescent="0.25">
      <c r="A1" s="60" t="s">
        <v>41</v>
      </c>
      <c r="B1" s="80"/>
    </row>
    <row r="2" spans="1:3" ht="22.5" customHeight="1" x14ac:dyDescent="0.25">
      <c r="A2" s="61" t="s">
        <v>204</v>
      </c>
    </row>
    <row r="3" spans="1:3" ht="22.5" customHeight="1" x14ac:dyDescent="0.25">
      <c r="A3" s="61" t="s">
        <v>128</v>
      </c>
      <c r="B3" s="75" t="s">
        <v>130</v>
      </c>
      <c r="C3" s="75"/>
    </row>
    <row r="4" spans="1:3" ht="22.5" customHeight="1" x14ac:dyDescent="0.25">
      <c r="A4" s="130" t="s">
        <v>131</v>
      </c>
      <c r="B4" s="66">
        <v>1.05</v>
      </c>
      <c r="C4" s="66"/>
    </row>
    <row r="5" spans="1:3" ht="22.5" customHeight="1" x14ac:dyDescent="0.25">
      <c r="A5" s="130" t="s">
        <v>132</v>
      </c>
      <c r="B5" s="66" t="s">
        <v>129</v>
      </c>
      <c r="C5" s="66"/>
    </row>
    <row r="6" spans="1:3" ht="22.5" customHeight="1" x14ac:dyDescent="0.25">
      <c r="A6" s="53" t="s">
        <v>207</v>
      </c>
      <c r="B6" s="34" t="s">
        <v>208</v>
      </c>
      <c r="C6" s="34"/>
    </row>
    <row r="7" spans="1:3" ht="22.5" customHeight="1" x14ac:dyDescent="0.25">
      <c r="A7" s="53" t="s">
        <v>205</v>
      </c>
      <c r="B7" s="34" t="s">
        <v>206</v>
      </c>
      <c r="C7" s="34"/>
    </row>
    <row r="8" spans="1:3" ht="22.5" customHeight="1" x14ac:dyDescent="0.25">
      <c r="A8" s="62" t="s">
        <v>121</v>
      </c>
      <c r="B8" s="80"/>
    </row>
    <row r="9" spans="1:3" ht="38.25" customHeight="1" x14ac:dyDescent="0.25">
      <c r="B9" s="66" t="s">
        <v>214</v>
      </c>
    </row>
    <row r="10" spans="1:3" ht="22.5" customHeight="1" x14ac:dyDescent="0.25">
      <c r="A10" s="53" t="s">
        <v>37</v>
      </c>
      <c r="B10" s="51" t="s">
        <v>213</v>
      </c>
    </row>
    <row r="11" spans="1:3" ht="22.5" customHeight="1" x14ac:dyDescent="0.25">
      <c r="A11" s="53" t="s">
        <v>38</v>
      </c>
      <c r="B11" s="51" t="s">
        <v>42</v>
      </c>
    </row>
    <row r="12" spans="1:3" ht="22.5" customHeight="1" x14ac:dyDescent="0.25">
      <c r="A12" s="53" t="s">
        <v>39</v>
      </c>
      <c r="B12" s="51" t="s">
        <v>40</v>
      </c>
    </row>
    <row r="13" spans="1:3" ht="22.5" customHeight="1" x14ac:dyDescent="0.25">
      <c r="A13" s="53" t="s">
        <v>210</v>
      </c>
      <c r="B13" s="51" t="s">
        <v>43</v>
      </c>
    </row>
    <row r="14" spans="1:3" ht="22.5" customHeight="1" x14ac:dyDescent="0.25">
      <c r="A14" s="53" t="s">
        <v>209</v>
      </c>
      <c r="B14" s="51" t="s">
        <v>44</v>
      </c>
    </row>
    <row r="15" spans="1:3" ht="22.5" customHeight="1" x14ac:dyDescent="0.25">
      <c r="A15" s="72" t="s">
        <v>118</v>
      </c>
    </row>
    <row r="16" spans="1:3" ht="22.5" customHeight="1" x14ac:dyDescent="0.25">
      <c r="A16" s="72" t="s">
        <v>122</v>
      </c>
      <c r="B16" s="73" t="s">
        <v>119</v>
      </c>
      <c r="C16" s="73"/>
    </row>
    <row r="17" spans="1:3" ht="22.5" customHeight="1" x14ac:dyDescent="0.25">
      <c r="A17" s="72" t="s">
        <v>123</v>
      </c>
      <c r="B17" s="73" t="s">
        <v>119</v>
      </c>
      <c r="C17" s="73"/>
    </row>
    <row r="18" spans="1:3" ht="22.5" customHeight="1" x14ac:dyDescent="0.25">
      <c r="A18" s="72" t="s">
        <v>124</v>
      </c>
      <c r="B18" s="73" t="s">
        <v>120</v>
      </c>
      <c r="C18" s="73"/>
    </row>
    <row r="19" spans="1:3" ht="22.5" customHeight="1" x14ac:dyDescent="0.25">
      <c r="A19" s="62" t="s">
        <v>62</v>
      </c>
      <c r="B19" s="80"/>
    </row>
    <row r="20" spans="1:3" ht="38.25" customHeight="1" x14ac:dyDescent="0.25">
      <c r="A20" s="53" t="s">
        <v>126</v>
      </c>
      <c r="B20" s="66" t="s">
        <v>127</v>
      </c>
      <c r="C20" s="66"/>
    </row>
    <row r="21" spans="1:3" ht="48.75" customHeight="1" x14ac:dyDescent="0.25">
      <c r="A21" s="61" t="s">
        <v>138</v>
      </c>
      <c r="B21" s="66" t="s">
        <v>114</v>
      </c>
      <c r="C21" s="66"/>
    </row>
    <row r="22" spans="1:3" ht="42" customHeight="1" x14ac:dyDescent="0.25">
      <c r="A22" s="61" t="s">
        <v>125</v>
      </c>
      <c r="B22" s="66" t="s">
        <v>115</v>
      </c>
    </row>
    <row r="23" spans="1:3" ht="22.5" customHeight="1" thickBot="1" x14ac:dyDescent="0.3">
      <c r="A23" s="77" t="s">
        <v>139</v>
      </c>
      <c r="B23" s="77" t="s">
        <v>140</v>
      </c>
      <c r="C23" s="79"/>
    </row>
    <row r="24" spans="1:3" ht="22.5" customHeight="1" x14ac:dyDescent="0.25">
      <c r="A24" s="72" t="s">
        <v>198</v>
      </c>
      <c r="B24" s="52" t="s">
        <v>80</v>
      </c>
      <c r="C24" s="59"/>
    </row>
    <row r="25" spans="1:3" ht="22.5" customHeight="1" x14ac:dyDescent="0.25">
      <c r="A25" s="72" t="s">
        <v>199</v>
      </c>
      <c r="B25" s="54" t="s">
        <v>77</v>
      </c>
      <c r="C25" s="59"/>
    </row>
    <row r="26" spans="1:3" ht="22.5" customHeight="1" x14ac:dyDescent="0.25">
      <c r="A26" s="72" t="s">
        <v>200</v>
      </c>
      <c r="B26" s="55" t="s">
        <v>76</v>
      </c>
      <c r="C26" s="59"/>
    </row>
    <row r="27" spans="1:3" ht="22.5" customHeight="1" x14ac:dyDescent="0.25">
      <c r="A27" s="72"/>
      <c r="B27" s="129" t="s">
        <v>201</v>
      </c>
      <c r="C27" s="59"/>
    </row>
    <row r="28" spans="1:3" ht="22.5" customHeight="1" x14ac:dyDescent="0.25">
      <c r="A28" s="72" t="s">
        <v>81</v>
      </c>
      <c r="B28" s="56" t="s">
        <v>79</v>
      </c>
      <c r="C28" s="81"/>
    </row>
    <row r="29" spans="1:3" ht="22.5" customHeight="1" x14ac:dyDescent="0.25">
      <c r="A29" s="72" t="s">
        <v>202</v>
      </c>
      <c r="B29" s="57" t="s">
        <v>75</v>
      </c>
      <c r="C29" s="82"/>
    </row>
    <row r="30" spans="1:3" ht="22.5" customHeight="1" x14ac:dyDescent="0.25">
      <c r="A30" s="72" t="s">
        <v>203</v>
      </c>
      <c r="B30" s="58" t="s">
        <v>78</v>
      </c>
      <c r="C30" s="83"/>
    </row>
    <row r="31" spans="1:3" ht="22.5" customHeight="1" x14ac:dyDescent="0.25">
      <c r="A31" s="62" t="s">
        <v>155</v>
      </c>
      <c r="B31" s="80"/>
    </row>
    <row r="32" spans="1:3" ht="22.5" customHeight="1" x14ac:dyDescent="0.25">
      <c r="A32" s="53" t="s">
        <v>159</v>
      </c>
    </row>
    <row r="33" spans="1:2" ht="22.5" customHeight="1" x14ac:dyDescent="0.25">
      <c r="A33" s="53" t="s">
        <v>156</v>
      </c>
    </row>
    <row r="34" spans="1:2" ht="22.5" customHeight="1" x14ac:dyDescent="0.25">
      <c r="A34" s="53" t="s">
        <v>157</v>
      </c>
    </row>
    <row r="35" spans="1:2" ht="22.5" customHeight="1" x14ac:dyDescent="0.25">
      <c r="A35" s="62"/>
      <c r="B35" s="80"/>
    </row>
    <row r="36" spans="1:2" ht="22.5" customHeight="1" x14ac:dyDescent="0.25"/>
    <row r="37" spans="1:2" ht="22.5" customHeight="1" x14ac:dyDescent="0.25"/>
    <row r="38" spans="1:2" ht="22.5" customHeight="1" x14ac:dyDescent="0.25"/>
    <row r="39" spans="1:2" ht="22.5" customHeight="1" x14ac:dyDescent="0.25"/>
    <row r="40" spans="1:2" ht="22.5" customHeight="1" x14ac:dyDescent="0.25"/>
    <row r="41" spans="1:2" ht="22.5" customHeight="1" x14ac:dyDescent="0.25"/>
    <row r="42" spans="1:2" ht="22.5" customHeight="1" x14ac:dyDescent="0.25"/>
    <row r="43" spans="1:2" ht="22.5" customHeight="1" x14ac:dyDescent="0.25"/>
    <row r="44" spans="1:2" ht="22.5" customHeight="1" x14ac:dyDescent="0.25"/>
    <row r="45" spans="1:2" ht="22.5" customHeight="1" x14ac:dyDescent="0.25"/>
    <row r="46" spans="1:2" ht="22.5" customHeight="1" x14ac:dyDescent="0.25"/>
    <row r="47" spans="1:2" ht="22.5" customHeight="1" x14ac:dyDescent="0.25"/>
    <row r="48" spans="1:2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</sheetData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FDD0-30C5-4EDF-A403-7D9A21061BE0}">
  <sheetPr codeName="Лист9">
    <tabColor theme="0"/>
  </sheetPr>
  <dimension ref="A1:U28"/>
  <sheetViews>
    <sheetView zoomScale="80" zoomScaleNormal="80" workbookViewId="0">
      <selection activeCell="K50" sqref="K50"/>
    </sheetView>
  </sheetViews>
  <sheetFormatPr defaultRowHeight="14.25" x14ac:dyDescent="0.25"/>
  <cols>
    <col min="1" max="1" width="1.42578125" style="11" customWidth="1"/>
    <col min="2" max="5" width="10" style="11" customWidth="1"/>
    <col min="6" max="6" width="1.42578125" style="11" customWidth="1"/>
    <col min="7" max="7" width="9.28515625" style="117" customWidth="1"/>
    <col min="8" max="8" width="37.5703125" style="11" bestFit="1" customWidth="1"/>
    <col min="9" max="9" width="1.42578125" style="11" customWidth="1"/>
    <col min="10" max="10" width="14.28515625" style="117" customWidth="1"/>
    <col min="11" max="12" width="14.28515625" style="11" customWidth="1"/>
    <col min="13" max="13" width="1.42578125" style="11" customWidth="1"/>
    <col min="14" max="15" width="20" style="11" customWidth="1"/>
    <col min="16" max="16" width="12" style="11" customWidth="1"/>
    <col min="17" max="17" width="10.85546875" style="11" customWidth="1"/>
    <col min="18" max="18" width="1.42578125" style="11" customWidth="1"/>
    <col min="19" max="21" width="14.28515625" style="11" customWidth="1"/>
    <col min="22" max="16384" width="9.140625" style="11"/>
  </cols>
  <sheetData>
    <row r="1" spans="1:21" ht="7.5" customHeight="1" thickBot="1" x14ac:dyDescent="0.3">
      <c r="G1" s="11"/>
      <c r="J1" s="11"/>
    </row>
    <row r="2" spans="1:21" ht="37.5" customHeight="1" thickBot="1" x14ac:dyDescent="0.3">
      <c r="B2" s="525" t="s">
        <v>211</v>
      </c>
      <c r="C2" s="536"/>
      <c r="D2" s="536"/>
      <c r="E2" s="536"/>
      <c r="G2" s="525" t="s">
        <v>183</v>
      </c>
      <c r="H2" s="525"/>
      <c r="J2" s="525" t="s">
        <v>563</v>
      </c>
      <c r="K2" s="525"/>
      <c r="L2" s="525"/>
      <c r="N2" s="542" t="s">
        <v>282</v>
      </c>
      <c r="O2" s="543"/>
      <c r="P2" s="543"/>
      <c r="Q2" s="544"/>
      <c r="S2" s="505" t="s">
        <v>195</v>
      </c>
      <c r="T2" s="505"/>
      <c r="U2" s="128">
        <v>500</v>
      </c>
    </row>
    <row r="3" spans="1:21" ht="22.5" customHeight="1" thickBot="1" x14ac:dyDescent="0.3">
      <c r="B3" s="109" t="s">
        <v>66</v>
      </c>
      <c r="C3" s="109" t="s">
        <v>67</v>
      </c>
      <c r="D3" s="109" t="s">
        <v>68</v>
      </c>
      <c r="E3" s="109" t="s">
        <v>69</v>
      </c>
      <c r="G3" s="110">
        <v>63</v>
      </c>
      <c r="H3" s="537" t="s">
        <v>188</v>
      </c>
      <c r="J3" s="526" t="s">
        <v>196</v>
      </c>
      <c r="K3" s="528" t="s">
        <v>194</v>
      </c>
      <c r="L3" s="530" t="s">
        <v>193</v>
      </c>
      <c r="N3" s="346" t="s">
        <v>283</v>
      </c>
      <c r="O3" s="347" t="s">
        <v>275</v>
      </c>
      <c r="P3" s="545" t="s">
        <v>16</v>
      </c>
      <c r="Q3" s="349" t="s">
        <v>284</v>
      </c>
      <c r="S3" s="524" t="s">
        <v>197</v>
      </c>
      <c r="T3" s="524"/>
      <c r="U3" s="524"/>
    </row>
    <row r="4" spans="1:21" s="112" customFormat="1" ht="22.5" customHeight="1" thickBot="1" x14ac:dyDescent="0.3">
      <c r="A4" s="122"/>
      <c r="B4" s="124">
        <v>1</v>
      </c>
      <c r="C4" s="126">
        <v>1</v>
      </c>
      <c r="D4" s="126">
        <v>1</v>
      </c>
      <c r="E4" s="123">
        <v>1</v>
      </c>
      <c r="G4" s="113">
        <v>100</v>
      </c>
      <c r="H4" s="538"/>
      <c r="I4" s="11"/>
      <c r="J4" s="527"/>
      <c r="K4" s="529"/>
      <c r="L4" s="531"/>
      <c r="N4" s="347" t="s">
        <v>281</v>
      </c>
      <c r="O4" s="347" t="s">
        <v>276</v>
      </c>
      <c r="P4" s="545"/>
      <c r="Q4" s="349" t="s">
        <v>285</v>
      </c>
      <c r="S4" s="134" t="s">
        <v>186</v>
      </c>
      <c r="T4" s="133">
        <f>SQRT($U$2*4)*$P$15*$P$16</f>
        <v>79.05694150420949</v>
      </c>
      <c r="U4" s="107">
        <f>_xlfn.XLOOKUP(T4,$G$3:$G$7,$G$3:$G$7,630,1)</f>
        <v>100</v>
      </c>
    </row>
    <row r="5" spans="1:21" s="112" customFormat="1" ht="22.5" customHeight="1" thickBot="1" x14ac:dyDescent="0.3">
      <c r="A5" s="122"/>
      <c r="B5" s="125"/>
      <c r="C5" s="127"/>
      <c r="D5" s="127"/>
      <c r="E5" s="123">
        <v>1.1000000000000001</v>
      </c>
      <c r="G5" s="110">
        <v>250</v>
      </c>
      <c r="H5" s="539" t="s">
        <v>189</v>
      </c>
      <c r="I5" s="11"/>
      <c r="J5" s="506">
        <v>100</v>
      </c>
      <c r="K5" s="507" t="s">
        <v>101</v>
      </c>
      <c r="L5" s="431">
        <v>0.2</v>
      </c>
      <c r="N5" s="347" t="s">
        <v>280</v>
      </c>
      <c r="O5" s="347" t="s">
        <v>277</v>
      </c>
      <c r="P5" s="545"/>
      <c r="Q5" s="349" t="s">
        <v>286</v>
      </c>
      <c r="S5" s="135" t="s">
        <v>185</v>
      </c>
      <c r="T5" s="133">
        <f>SQRT($U$2*8)*$P$15*$P$16</f>
        <v>111.80339887498948</v>
      </c>
      <c r="U5" s="107">
        <f>_xlfn.XLOOKUP(T5,$G$3:$G$7,$G$3:$G$7,630,1)</f>
        <v>250</v>
      </c>
    </row>
    <row r="6" spans="1:21" s="112" customFormat="1" ht="22.5" customHeight="1" thickBot="1" x14ac:dyDescent="0.3">
      <c r="A6" s="122"/>
      <c r="B6" s="125"/>
      <c r="C6" s="127"/>
      <c r="D6" s="126">
        <v>1.2</v>
      </c>
      <c r="E6" s="123">
        <v>1.2</v>
      </c>
      <c r="G6" s="110">
        <v>400</v>
      </c>
      <c r="H6" s="539"/>
      <c r="I6" s="11"/>
      <c r="J6" s="506">
        <v>250</v>
      </c>
      <c r="K6" s="507" t="s">
        <v>102</v>
      </c>
      <c r="L6" s="431">
        <v>0.4</v>
      </c>
      <c r="N6" s="348" t="s">
        <v>279</v>
      </c>
      <c r="O6" s="348" t="s">
        <v>278</v>
      </c>
      <c r="P6" s="546"/>
      <c r="Q6" s="350" t="s">
        <v>287</v>
      </c>
      <c r="S6" s="135" t="s">
        <v>187</v>
      </c>
      <c r="T6" s="133">
        <f>SQRT($U$2*16)*$P$15*$P$16</f>
        <v>158.11388300841898</v>
      </c>
      <c r="U6" s="107">
        <f>_xlfn.XLOOKUP(T6,$G$3:$G$7,$G$3:$G$7,630,1)</f>
        <v>250</v>
      </c>
    </row>
    <row r="7" spans="1:21" s="112" customFormat="1" ht="22.5" customHeight="1" thickBot="1" x14ac:dyDescent="0.3">
      <c r="A7" s="122"/>
      <c r="B7" s="125"/>
      <c r="C7" s="127"/>
      <c r="D7" s="127"/>
      <c r="E7" s="123">
        <v>1.3</v>
      </c>
      <c r="G7" s="110">
        <v>630</v>
      </c>
      <c r="H7" s="539"/>
      <c r="I7" s="11"/>
      <c r="J7" s="506">
        <v>400</v>
      </c>
      <c r="K7" s="507" t="s">
        <v>103</v>
      </c>
      <c r="L7" s="431">
        <v>0.5</v>
      </c>
      <c r="N7" s="346" t="s">
        <v>283</v>
      </c>
      <c r="O7" s="347" t="s">
        <v>275</v>
      </c>
      <c r="P7" s="547" t="s">
        <v>17</v>
      </c>
      <c r="Q7" s="351" t="s">
        <v>288</v>
      </c>
    </row>
    <row r="8" spans="1:21" s="112" customFormat="1" ht="22.5" customHeight="1" thickBot="1" x14ac:dyDescent="0.3">
      <c r="A8" s="122"/>
      <c r="B8" s="125"/>
      <c r="C8" s="126">
        <v>1.5</v>
      </c>
      <c r="D8" s="126">
        <v>1.5</v>
      </c>
      <c r="E8" s="123">
        <v>1.5</v>
      </c>
      <c r="G8" s="117"/>
      <c r="H8" s="11"/>
      <c r="I8" s="11"/>
      <c r="J8" s="506">
        <v>500</v>
      </c>
      <c r="K8" s="507" t="s">
        <v>104</v>
      </c>
      <c r="L8" s="431">
        <v>0.55000000000000004</v>
      </c>
      <c r="N8" s="347" t="s">
        <v>281</v>
      </c>
      <c r="O8" s="347" t="s">
        <v>276</v>
      </c>
      <c r="P8" s="545"/>
      <c r="Q8" s="349" t="s">
        <v>289</v>
      </c>
    </row>
    <row r="9" spans="1:21" s="112" customFormat="1" ht="22.5" customHeight="1" thickBot="1" x14ac:dyDescent="0.3">
      <c r="A9" s="122"/>
      <c r="B9" s="125"/>
      <c r="C9" s="127"/>
      <c r="D9" s="127"/>
      <c r="E9" s="123">
        <v>1.6</v>
      </c>
      <c r="G9" s="525" t="s">
        <v>190</v>
      </c>
      <c r="H9" s="525"/>
      <c r="I9" s="11"/>
      <c r="J9" s="506">
        <v>800</v>
      </c>
      <c r="K9" s="507" t="s">
        <v>105</v>
      </c>
      <c r="L9" s="431">
        <v>0.65</v>
      </c>
      <c r="N9" s="347" t="s">
        <v>280</v>
      </c>
      <c r="O9" s="347" t="s">
        <v>277</v>
      </c>
      <c r="P9" s="545"/>
      <c r="Q9" s="349" t="s">
        <v>290</v>
      </c>
    </row>
    <row r="10" spans="1:21" s="112" customFormat="1" ht="22.5" customHeight="1" thickBot="1" x14ac:dyDescent="0.3">
      <c r="A10" s="122"/>
      <c r="B10" s="125"/>
      <c r="C10" s="127"/>
      <c r="D10" s="126">
        <v>1.8</v>
      </c>
      <c r="E10" s="123">
        <v>1.8</v>
      </c>
      <c r="G10" s="525"/>
      <c r="H10" s="525"/>
      <c r="J10" s="506">
        <v>1000</v>
      </c>
      <c r="K10" s="507" t="s">
        <v>106</v>
      </c>
      <c r="L10" s="431">
        <v>0.7</v>
      </c>
      <c r="N10" s="348" t="s">
        <v>279</v>
      </c>
      <c r="O10" s="348" t="s">
        <v>278</v>
      </c>
      <c r="P10" s="546"/>
      <c r="Q10" s="350" t="s">
        <v>291</v>
      </c>
    </row>
    <row r="11" spans="1:21" s="112" customFormat="1" ht="22.5" customHeight="1" thickBot="1" x14ac:dyDescent="0.3">
      <c r="A11" s="122"/>
      <c r="B11" s="125"/>
      <c r="C11" s="127"/>
      <c r="D11" s="127"/>
      <c r="E11" s="123">
        <v>2</v>
      </c>
      <c r="G11" s="111">
        <v>5</v>
      </c>
      <c r="H11" s="532" t="s">
        <v>133</v>
      </c>
      <c r="J11" s="506">
        <v>1500</v>
      </c>
      <c r="K11" s="507" t="s">
        <v>107</v>
      </c>
      <c r="L11" s="431">
        <v>0.75</v>
      </c>
    </row>
    <row r="12" spans="1:21" s="112" customFormat="1" ht="22.5" customHeight="1" thickBot="1" x14ac:dyDescent="0.3">
      <c r="A12" s="122"/>
      <c r="B12" s="124">
        <v>2.2000000000000002</v>
      </c>
      <c r="C12" s="126">
        <v>2.2000000000000002</v>
      </c>
      <c r="D12" s="126">
        <v>2.2000000000000002</v>
      </c>
      <c r="E12" s="123">
        <v>2.2000000000000002</v>
      </c>
      <c r="G12" s="114">
        <v>10</v>
      </c>
      <c r="H12" s="533"/>
      <c r="J12" s="506">
        <v>2000</v>
      </c>
      <c r="K12" s="507" t="s">
        <v>108</v>
      </c>
      <c r="L12" s="431">
        <v>0.8</v>
      </c>
      <c r="N12" s="548" t="s">
        <v>545</v>
      </c>
      <c r="O12" s="549"/>
      <c r="P12" s="136" t="s">
        <v>558</v>
      </c>
      <c r="Q12" s="137" t="s">
        <v>320</v>
      </c>
    </row>
    <row r="13" spans="1:21" s="112" customFormat="1" ht="22.5" customHeight="1" thickBot="1" x14ac:dyDescent="0.3">
      <c r="A13" s="122"/>
      <c r="B13" s="125"/>
      <c r="C13" s="127"/>
      <c r="D13" s="127"/>
      <c r="E13" s="123">
        <v>2.4</v>
      </c>
      <c r="G13" s="115">
        <v>15</v>
      </c>
      <c r="H13" s="534" t="s">
        <v>134</v>
      </c>
      <c r="J13" s="506">
        <v>3000</v>
      </c>
      <c r="K13" s="507" t="s">
        <v>109</v>
      </c>
      <c r="L13" s="431">
        <v>0.85</v>
      </c>
      <c r="N13" s="540" t="s">
        <v>546</v>
      </c>
      <c r="O13" s="541"/>
      <c r="P13" s="430">
        <v>343000</v>
      </c>
      <c r="Q13" s="431" t="s">
        <v>547</v>
      </c>
    </row>
    <row r="14" spans="1:21" s="112" customFormat="1" ht="22.5" customHeight="1" thickBot="1" x14ac:dyDescent="0.3">
      <c r="A14" s="122"/>
      <c r="B14" s="125"/>
      <c r="C14" s="127"/>
      <c r="D14" s="126">
        <v>2.7</v>
      </c>
      <c r="E14" s="123">
        <v>2.7</v>
      </c>
      <c r="G14" s="116">
        <v>20</v>
      </c>
      <c r="H14" s="532"/>
      <c r="J14" s="506">
        <v>5000</v>
      </c>
      <c r="K14" s="507" t="s">
        <v>110</v>
      </c>
      <c r="L14" s="431">
        <v>0.9</v>
      </c>
      <c r="N14" s="540" t="s">
        <v>548</v>
      </c>
      <c r="O14" s="541"/>
      <c r="P14" s="430">
        <v>20000</v>
      </c>
      <c r="Q14" s="431" t="s">
        <v>25</v>
      </c>
    </row>
    <row r="15" spans="1:21" s="112" customFormat="1" ht="22.5" customHeight="1" thickBot="1" x14ac:dyDescent="0.3">
      <c r="A15" s="122"/>
      <c r="B15" s="125"/>
      <c r="C15" s="127"/>
      <c r="D15" s="127"/>
      <c r="E15" s="123">
        <v>3</v>
      </c>
      <c r="G15" s="116">
        <v>25</v>
      </c>
      <c r="H15" s="532"/>
      <c r="J15" s="506">
        <v>8000</v>
      </c>
      <c r="K15" s="507" t="s">
        <v>111</v>
      </c>
      <c r="L15" s="431">
        <v>0.95</v>
      </c>
      <c r="N15" s="540" t="s">
        <v>549</v>
      </c>
      <c r="O15" s="541"/>
      <c r="P15" s="432">
        <f>SQRT(2)</f>
        <v>1.4142135623730951</v>
      </c>
      <c r="Q15" s="431" t="s">
        <v>550</v>
      </c>
    </row>
    <row r="16" spans="1:21" s="112" customFormat="1" ht="22.5" customHeight="1" thickBot="1" x14ac:dyDescent="0.3">
      <c r="A16" s="122"/>
      <c r="B16" s="125"/>
      <c r="C16" s="126">
        <v>3.3</v>
      </c>
      <c r="D16" s="126">
        <v>3.3</v>
      </c>
      <c r="E16" s="123">
        <v>3.3</v>
      </c>
      <c r="G16" s="118">
        <v>30</v>
      </c>
      <c r="H16" s="533"/>
      <c r="J16" s="506">
        <v>10000</v>
      </c>
      <c r="K16" s="507" t="s">
        <v>112</v>
      </c>
      <c r="L16" s="431">
        <v>0.97</v>
      </c>
      <c r="N16" s="540" t="s">
        <v>551</v>
      </c>
      <c r="O16" s="541"/>
      <c r="P16" s="430">
        <v>1.25</v>
      </c>
      <c r="Q16" s="431" t="s">
        <v>550</v>
      </c>
    </row>
    <row r="17" spans="1:10" s="112" customFormat="1" ht="22.5" customHeight="1" thickBot="1" x14ac:dyDescent="0.3">
      <c r="A17" s="122"/>
      <c r="B17" s="125"/>
      <c r="C17" s="127"/>
      <c r="D17" s="127"/>
      <c r="E17" s="123">
        <v>3.6</v>
      </c>
      <c r="G17" s="119">
        <v>50</v>
      </c>
      <c r="H17" s="120" t="s">
        <v>135</v>
      </c>
    </row>
    <row r="18" spans="1:10" s="112" customFormat="1" ht="22.5" customHeight="1" thickBot="1" x14ac:dyDescent="0.3">
      <c r="A18" s="122"/>
      <c r="B18" s="125"/>
      <c r="C18" s="127"/>
      <c r="D18" s="126">
        <v>3.9</v>
      </c>
      <c r="E18" s="123">
        <v>3.9</v>
      </c>
      <c r="G18" s="121"/>
    </row>
    <row r="19" spans="1:10" s="112" customFormat="1" ht="22.5" customHeight="1" thickBot="1" x14ac:dyDescent="0.3">
      <c r="A19" s="122"/>
      <c r="B19" s="125"/>
      <c r="C19" s="127"/>
      <c r="D19" s="127"/>
      <c r="E19" s="123">
        <v>4.3</v>
      </c>
      <c r="G19" s="535"/>
      <c r="H19" s="535"/>
    </row>
    <row r="20" spans="1:10" s="112" customFormat="1" ht="22.5" customHeight="1" thickBot="1" x14ac:dyDescent="0.3">
      <c r="A20" s="122"/>
      <c r="B20" s="124">
        <v>4.7</v>
      </c>
      <c r="C20" s="126">
        <v>4.7</v>
      </c>
      <c r="D20" s="126">
        <v>4.7</v>
      </c>
      <c r="E20" s="123">
        <v>4.7</v>
      </c>
      <c r="G20" s="535"/>
      <c r="H20" s="535"/>
    </row>
    <row r="21" spans="1:10" s="112" customFormat="1" ht="22.5" customHeight="1" thickBot="1" x14ac:dyDescent="0.3">
      <c r="A21" s="122"/>
      <c r="B21" s="125"/>
      <c r="C21" s="127"/>
      <c r="D21" s="127"/>
      <c r="E21" s="123">
        <v>5.0999999999999996</v>
      </c>
      <c r="G21" s="331"/>
      <c r="H21" s="352"/>
    </row>
    <row r="22" spans="1:10" s="112" customFormat="1" ht="22.5" customHeight="1" thickBot="1" x14ac:dyDescent="0.3">
      <c r="A22" s="122"/>
      <c r="B22" s="125"/>
      <c r="C22" s="127"/>
      <c r="D22" s="126">
        <v>5.6</v>
      </c>
      <c r="E22" s="123">
        <v>5.6</v>
      </c>
      <c r="G22" s="331"/>
      <c r="H22" s="352"/>
      <c r="J22" s="121"/>
    </row>
    <row r="23" spans="1:10" s="112" customFormat="1" ht="22.5" customHeight="1" thickBot="1" x14ac:dyDescent="0.3">
      <c r="A23" s="122"/>
      <c r="B23" s="125"/>
      <c r="C23" s="127"/>
      <c r="D23" s="127"/>
      <c r="E23" s="123">
        <v>6.2</v>
      </c>
      <c r="G23" s="331"/>
      <c r="H23" s="352"/>
      <c r="J23" s="121"/>
    </row>
    <row r="24" spans="1:10" s="112" customFormat="1" ht="22.5" customHeight="1" thickBot="1" x14ac:dyDescent="0.3">
      <c r="A24" s="122"/>
      <c r="B24" s="125"/>
      <c r="C24" s="126">
        <v>6.8</v>
      </c>
      <c r="D24" s="126">
        <v>6.8</v>
      </c>
      <c r="E24" s="123">
        <v>6.8</v>
      </c>
      <c r="G24" s="331"/>
      <c r="H24" s="352"/>
      <c r="J24" s="121"/>
    </row>
    <row r="25" spans="1:10" s="112" customFormat="1" ht="22.5" customHeight="1" thickBot="1" x14ac:dyDescent="0.3">
      <c r="A25" s="122"/>
      <c r="B25" s="125"/>
      <c r="C25" s="127"/>
      <c r="D25" s="127"/>
      <c r="E25" s="123">
        <v>7.5</v>
      </c>
      <c r="G25" s="121"/>
      <c r="J25" s="121"/>
    </row>
    <row r="26" spans="1:10" s="112" customFormat="1" ht="22.5" customHeight="1" thickBot="1" x14ac:dyDescent="0.3">
      <c r="A26" s="122"/>
      <c r="B26" s="125"/>
      <c r="C26" s="127"/>
      <c r="D26" s="126">
        <v>8.1999999999999993</v>
      </c>
      <c r="E26" s="123">
        <v>8.1999999999999993</v>
      </c>
      <c r="G26" s="121"/>
      <c r="J26" s="121"/>
    </row>
    <row r="27" spans="1:10" s="112" customFormat="1" ht="22.5" customHeight="1" thickBot="1" x14ac:dyDescent="0.3">
      <c r="A27" s="122"/>
      <c r="B27" s="125"/>
      <c r="C27" s="127"/>
      <c r="D27" s="127"/>
      <c r="E27" s="123">
        <v>9.1</v>
      </c>
      <c r="G27" s="121"/>
      <c r="J27" s="121"/>
    </row>
    <row r="28" spans="1:10" ht="22.5" customHeight="1" x14ac:dyDescent="0.25">
      <c r="B28" s="138" t="s">
        <v>84</v>
      </c>
      <c r="C28" s="138" t="s">
        <v>85</v>
      </c>
      <c r="D28" s="138" t="s">
        <v>86</v>
      </c>
      <c r="E28" s="138" t="s">
        <v>87</v>
      </c>
    </row>
  </sheetData>
  <mergeCells count="21">
    <mergeCell ref="N15:O15"/>
    <mergeCell ref="N16:O16"/>
    <mergeCell ref="N2:Q2"/>
    <mergeCell ref="P3:P6"/>
    <mergeCell ref="P7:P10"/>
    <mergeCell ref="N12:O12"/>
    <mergeCell ref="N13:O13"/>
    <mergeCell ref="N14:O14"/>
    <mergeCell ref="H11:H12"/>
    <mergeCell ref="H13:H16"/>
    <mergeCell ref="G9:H10"/>
    <mergeCell ref="G19:H20"/>
    <mergeCell ref="B2:E2"/>
    <mergeCell ref="G2:H2"/>
    <mergeCell ref="H3:H4"/>
    <mergeCell ref="H5:H7"/>
    <mergeCell ref="S3:U3"/>
    <mergeCell ref="J2:L2"/>
    <mergeCell ref="J3:J4"/>
    <mergeCell ref="K3:K4"/>
    <mergeCell ref="L3:L4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Принцип подключения</vt:lpstr>
      <vt:lpstr>Сквозной расчёт фильтров</vt:lpstr>
      <vt:lpstr>Ведомость закупки и СП</vt:lpstr>
      <vt:lpstr>Электроакустический расчёт</vt:lpstr>
      <vt:lpstr>DATA_Кроссовер</vt:lpstr>
      <vt:lpstr>DATA_Расчёт катушек</vt:lpstr>
      <vt:lpstr>DATA_Провода,Каркасы</vt:lpstr>
      <vt:lpstr>DATA_Ведомости</vt:lpstr>
      <vt:lpstr>Памятка</vt:lpstr>
      <vt:lpstr>Справочные таблицы</vt:lpstr>
      <vt:lpstr>PurchaseSource</vt:lpstr>
      <vt:lpstr>PurchaseSource_Test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MafizozForever</cp:lastModifiedBy>
  <cp:revision>0</cp:revision>
  <dcterms:created xsi:type="dcterms:W3CDTF">2026-02-09T19:50:38Z</dcterms:created>
  <dcterms:modified xsi:type="dcterms:W3CDTF">2026-10-06T19:56:17Z</dcterms:modified>
  <dc:language>en-US</dc:language>
</cp:coreProperties>
</file>